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 defaultThemeVersion="124226"/>
  <xr:revisionPtr revIDLastSave="0" documentId="8_{C7158E3B-CE8C-470D-8B7C-500A61A2FBFE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Sheet1" sheetId="1" r:id="rId1"/>
    <sheet name="Pivot_Analysis" sheetId="3" r:id="rId2"/>
    <sheet name="Dashboard" sheetId="5" r:id="rId3"/>
  </sheets>
  <definedNames>
    <definedName name="Slicer_Category">#N/A</definedName>
    <definedName name="Slicer_Customer_Segment">#N/A</definedName>
    <definedName name="Slicer_Region">#N/A</definedName>
  </definedNames>
  <calcPr calcId="191028"/>
  <pivotCaches>
    <pivotCache cacheId="468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<sst xmlns="http://schemas.openxmlformats.org/spreadsheetml/2006/main" count="6073" uniqueCount="1896">
  <si>
    <t>Order ID</t>
  </si>
  <si>
    <t>Order Date</t>
  </si>
  <si>
    <t>Region</t>
  </si>
  <si>
    <t>Category</t>
  </si>
  <si>
    <t>Sub-Category</t>
  </si>
  <si>
    <t>Product Name</t>
  </si>
  <si>
    <t>Sales</t>
  </si>
  <si>
    <t>Quantity</t>
  </si>
  <si>
    <t>Profit</t>
  </si>
  <si>
    <t>Customer Segment</t>
  </si>
  <si>
    <t>Profit Margin</t>
  </si>
  <si>
    <t>Order Month</t>
  </si>
  <si>
    <t>Order Year</t>
  </si>
  <si>
    <t>O-10000</t>
  </si>
  <si>
    <t>East</t>
  </si>
  <si>
    <t>Electronics</t>
  </si>
  <si>
    <t>Cameras</t>
  </si>
  <si>
    <t>Cameras Item 180</t>
  </si>
  <si>
    <t>Corporate</t>
  </si>
  <si>
    <t>O-10001</t>
  </si>
  <si>
    <t>North</t>
  </si>
  <si>
    <t>Beauty</t>
  </si>
  <si>
    <t>Makeup</t>
  </si>
  <si>
    <t>Makeup Item 122</t>
  </si>
  <si>
    <t>Small Business</t>
  </si>
  <si>
    <t>O-10002</t>
  </si>
  <si>
    <t>Clothing</t>
  </si>
  <si>
    <t>Women</t>
  </si>
  <si>
    <t>Women Item 131</t>
  </si>
  <si>
    <t>Consumer</t>
  </si>
  <si>
    <t>O-10003</t>
  </si>
  <si>
    <t>Women Item 38</t>
  </si>
  <si>
    <t>O-10004</t>
  </si>
  <si>
    <t>West</t>
  </si>
  <si>
    <t>Men</t>
  </si>
  <si>
    <t>Men Item 22</t>
  </si>
  <si>
    <t>O-10005</t>
  </si>
  <si>
    <t>Cameras Item 170</t>
  </si>
  <si>
    <t>O-10006</t>
  </si>
  <si>
    <t>South</t>
  </si>
  <si>
    <t>Sports</t>
  </si>
  <si>
    <t>Fitness</t>
  </si>
  <si>
    <t>Fitness Item 64</t>
  </si>
  <si>
    <t>O-10007</t>
  </si>
  <si>
    <t>Outdoor</t>
  </si>
  <si>
    <t>Outdoor Item 73</t>
  </si>
  <si>
    <t>O-10008</t>
  </si>
  <si>
    <t>Men Item 9</t>
  </si>
  <si>
    <t>O-10009</t>
  </si>
  <si>
    <t>Kids</t>
  </si>
  <si>
    <t>Kids Item 188</t>
  </si>
  <si>
    <t>O-10010</t>
  </si>
  <si>
    <t>Accessories</t>
  </si>
  <si>
    <t>Accessories Item 81</t>
  </si>
  <si>
    <t>O-10011</t>
  </si>
  <si>
    <t>Cameras Item 54</t>
  </si>
  <si>
    <t>O-10012</t>
  </si>
  <si>
    <t>Skincare</t>
  </si>
  <si>
    <t>Skincare Item 44</t>
  </si>
  <si>
    <t>O-10013</t>
  </si>
  <si>
    <t>Phones</t>
  </si>
  <si>
    <t>Phones Item 190</t>
  </si>
  <si>
    <t>O-10014</t>
  </si>
  <si>
    <t>Women Item 188</t>
  </si>
  <si>
    <t>O-10015</t>
  </si>
  <si>
    <t>Fitness Item 89</t>
  </si>
  <si>
    <t>O-10016</t>
  </si>
  <si>
    <t>Accessories Item 63</t>
  </si>
  <si>
    <t>O-10017</t>
  </si>
  <si>
    <t>Outdoor Item 33</t>
  </si>
  <si>
    <t>O-10018</t>
  </si>
  <si>
    <t>Outdoor Item 135</t>
  </si>
  <si>
    <t>O-10019</t>
  </si>
  <si>
    <t>Home &amp; Kitchen</t>
  </si>
  <si>
    <t>Furniture</t>
  </si>
  <si>
    <t>Furniture Item 151</t>
  </si>
  <si>
    <t>O-10020</t>
  </si>
  <si>
    <t>Makeup Item 35</t>
  </si>
  <si>
    <t>O-10021</t>
  </si>
  <si>
    <t>Laptops</t>
  </si>
  <si>
    <t>Laptops Item 1</t>
  </si>
  <si>
    <t>O-10022</t>
  </si>
  <si>
    <t>Fitness Item 15</t>
  </si>
  <si>
    <t>O-10023</t>
  </si>
  <si>
    <t>Decor</t>
  </si>
  <si>
    <t>Decor Item 52</t>
  </si>
  <si>
    <t>O-10024</t>
  </si>
  <si>
    <t>Accessories Item 143</t>
  </si>
  <si>
    <t>O-10025</t>
  </si>
  <si>
    <t>Haircare</t>
  </si>
  <si>
    <t>Haircare Item 86</t>
  </si>
  <si>
    <t>O-10026</t>
  </si>
  <si>
    <t>Equipment</t>
  </si>
  <si>
    <t>Equipment Item 108</t>
  </si>
  <si>
    <t>O-10027</t>
  </si>
  <si>
    <t>Cameras Item 190</t>
  </si>
  <si>
    <t>O-10028</t>
  </si>
  <si>
    <t>Haircare Item 116</t>
  </si>
  <si>
    <t>O-10029</t>
  </si>
  <si>
    <t>Phones Item 155</t>
  </si>
  <si>
    <t>O-10030</t>
  </si>
  <si>
    <t>Decor Item 172</t>
  </si>
  <si>
    <t>O-10031</t>
  </si>
  <si>
    <t>Laptops Item 180</t>
  </si>
  <si>
    <t>O-10032</t>
  </si>
  <si>
    <t>Skincare Item 39</t>
  </si>
  <si>
    <t>O-10033</t>
  </si>
  <si>
    <t>Outdoor Item 187</t>
  </si>
  <si>
    <t>O-10034</t>
  </si>
  <si>
    <t>Decor Item 129</t>
  </si>
  <si>
    <t>O-10035</t>
  </si>
  <si>
    <t>Equipment Item 160</t>
  </si>
  <si>
    <t>O-10036</t>
  </si>
  <si>
    <t>Phones Item 184</t>
  </si>
  <si>
    <t>O-10037</t>
  </si>
  <si>
    <t>Kids Item 198</t>
  </si>
  <si>
    <t>O-10038</t>
  </si>
  <si>
    <t>Accessories Item 70</t>
  </si>
  <si>
    <t>O-10039</t>
  </si>
  <si>
    <t>Fitness Item 90</t>
  </si>
  <si>
    <t>O-10040</t>
  </si>
  <si>
    <t>Cameras Item 52</t>
  </si>
  <si>
    <t>O-10041</t>
  </si>
  <si>
    <t>Furniture Item 104</t>
  </si>
  <si>
    <t>O-10042</t>
  </si>
  <si>
    <t>Equipment Item 159</t>
  </si>
  <si>
    <t>O-10043</t>
  </si>
  <si>
    <t>Women Item 90</t>
  </si>
  <si>
    <t>O-10044</t>
  </si>
  <si>
    <t>O-10045</t>
  </si>
  <si>
    <t>Skincare Item 99</t>
  </si>
  <si>
    <t>O-10046</t>
  </si>
  <si>
    <t>Men Item 120</t>
  </si>
  <si>
    <t>O-10047</t>
  </si>
  <si>
    <t>Decor Item 166</t>
  </si>
  <si>
    <t>O-10048</t>
  </si>
  <si>
    <t>Decor Item 99</t>
  </si>
  <si>
    <t>O-10049</t>
  </si>
  <si>
    <t>Outdoor Item 194</t>
  </si>
  <si>
    <t>O-10050</t>
  </si>
  <si>
    <t>Women Item 33</t>
  </si>
  <si>
    <t>O-10051</t>
  </si>
  <si>
    <t>Furniture Item 135</t>
  </si>
  <si>
    <t>O-10052</t>
  </si>
  <si>
    <t>Kids Item 119</t>
  </si>
  <si>
    <t>O-10053</t>
  </si>
  <si>
    <t>Skincare Item 182</t>
  </si>
  <si>
    <t>O-10054</t>
  </si>
  <si>
    <t>Furniture Item 28</t>
  </si>
  <si>
    <t>O-10055</t>
  </si>
  <si>
    <t>Laptops Item 4</t>
  </si>
  <si>
    <t>O-10056</t>
  </si>
  <si>
    <t>Outdoor Item 158</t>
  </si>
  <si>
    <t>O-10057</t>
  </si>
  <si>
    <t>Makeup Item 24</t>
  </si>
  <si>
    <t>O-10058</t>
  </si>
  <si>
    <t>Cameras Item 116</t>
  </si>
  <si>
    <t>O-10059</t>
  </si>
  <si>
    <t>Women Item 67</t>
  </si>
  <si>
    <t>O-10060</t>
  </si>
  <si>
    <t>Cameras Item 58</t>
  </si>
  <si>
    <t>O-10061</t>
  </si>
  <si>
    <t>Fitness Item 194</t>
  </si>
  <si>
    <t>O-10062</t>
  </si>
  <si>
    <t>Appliances</t>
  </si>
  <si>
    <t>Appliances Item 161</t>
  </si>
  <si>
    <t>O-10063</t>
  </si>
  <si>
    <t>Outdoor Item 170</t>
  </si>
  <si>
    <t>O-10064</t>
  </si>
  <si>
    <t>Furniture Item 13</t>
  </si>
  <si>
    <t>O-10065</t>
  </si>
  <si>
    <t>Men Item 20</t>
  </si>
  <si>
    <t>O-10066</t>
  </si>
  <si>
    <t>Equipment Item 98</t>
  </si>
  <si>
    <t>O-10067</t>
  </si>
  <si>
    <t>Equipment Item 153</t>
  </si>
  <si>
    <t>O-10068</t>
  </si>
  <si>
    <t>Fitness Item 49</t>
  </si>
  <si>
    <t>O-10069</t>
  </si>
  <si>
    <t>Haircare Item 101</t>
  </si>
  <si>
    <t>O-10070</t>
  </si>
  <si>
    <t>Kids Item 5</t>
  </si>
  <si>
    <t>O-10071</t>
  </si>
  <si>
    <t>Cameras Item 47</t>
  </si>
  <si>
    <t>O-10072</t>
  </si>
  <si>
    <t>Women Item 114</t>
  </si>
  <si>
    <t>O-10073</t>
  </si>
  <si>
    <t>Accessories Item 58</t>
  </si>
  <si>
    <t>O-10074</t>
  </si>
  <si>
    <t>Cameras Item 137</t>
  </si>
  <si>
    <t>O-10075</t>
  </si>
  <si>
    <t>Outdoor Item 34</t>
  </si>
  <si>
    <t>O-10076</t>
  </si>
  <si>
    <t>Laptops Item 117</t>
  </si>
  <si>
    <t>O-10077</t>
  </si>
  <si>
    <t>Haircare Item 22</t>
  </si>
  <si>
    <t>O-10078</t>
  </si>
  <si>
    <t>Laptops Item 179</t>
  </si>
  <si>
    <t>O-10079</t>
  </si>
  <si>
    <t>Skincare Item 69</t>
  </si>
  <si>
    <t>O-10080</t>
  </si>
  <si>
    <t>Outdoor Item 176</t>
  </si>
  <si>
    <t>O-10081</t>
  </si>
  <si>
    <t>Appliances Item 23</t>
  </si>
  <si>
    <t>O-10082</t>
  </si>
  <si>
    <t>Cameras Item 138</t>
  </si>
  <si>
    <t>O-10083</t>
  </si>
  <si>
    <t>Equipment Item 16</t>
  </si>
  <si>
    <t>O-10084</t>
  </si>
  <si>
    <t>Decor Item 84</t>
  </si>
  <si>
    <t>O-10085</t>
  </si>
  <si>
    <t>Accessories Item 161</t>
  </si>
  <si>
    <t>O-10086</t>
  </si>
  <si>
    <t>Furniture Item 161</t>
  </si>
  <si>
    <t>O-10087</t>
  </si>
  <si>
    <t>Skincare Item 81</t>
  </si>
  <si>
    <t>O-10088</t>
  </si>
  <si>
    <t>Skincare Item 58</t>
  </si>
  <si>
    <t>O-10089</t>
  </si>
  <si>
    <t>Laptops Item 164</t>
  </si>
  <si>
    <t>O-10090</t>
  </si>
  <si>
    <t>Furniture Item 99</t>
  </si>
  <si>
    <t>O-10091</t>
  </si>
  <si>
    <t>Equipment Item 152</t>
  </si>
  <si>
    <t>O-10092</t>
  </si>
  <si>
    <t>Equipment Item 13</t>
  </si>
  <si>
    <t>O-10093</t>
  </si>
  <si>
    <t>Fitness Item 113</t>
  </si>
  <si>
    <t>O-10094</t>
  </si>
  <si>
    <t>Makeup Item 19</t>
  </si>
  <si>
    <t>O-10095</t>
  </si>
  <si>
    <t>Appliances Item 199</t>
  </si>
  <si>
    <t>O-10096</t>
  </si>
  <si>
    <t>Haircare Item 144</t>
  </si>
  <si>
    <t>O-10097</t>
  </si>
  <si>
    <t>Equipment Item 53</t>
  </si>
  <si>
    <t>O-10098</t>
  </si>
  <si>
    <t>Appliances Item 42</t>
  </si>
  <si>
    <t>O-10099</t>
  </si>
  <si>
    <t>Makeup Item 75</t>
  </si>
  <si>
    <t>O-10100</t>
  </si>
  <si>
    <t>Fitness Item 145</t>
  </si>
  <si>
    <t>O-10101</t>
  </si>
  <si>
    <t>Haircare Item 170</t>
  </si>
  <si>
    <t>O-10102</t>
  </si>
  <si>
    <t>Furniture Item 166</t>
  </si>
  <si>
    <t>O-10103</t>
  </si>
  <si>
    <t>Outdoor Item 71</t>
  </si>
  <si>
    <t>O-10104</t>
  </si>
  <si>
    <t>Phones Item 159</t>
  </si>
  <si>
    <t>O-10105</t>
  </si>
  <si>
    <t>Equipment Item 90</t>
  </si>
  <si>
    <t>O-10106</t>
  </si>
  <si>
    <t>Decor Item 126</t>
  </si>
  <si>
    <t>O-10107</t>
  </si>
  <si>
    <t>Furniture Item 167</t>
  </si>
  <si>
    <t>O-10108</t>
  </si>
  <si>
    <t>Kids Item 153</t>
  </si>
  <si>
    <t>O-10109</t>
  </si>
  <si>
    <t>Phones Item 44</t>
  </si>
  <si>
    <t>O-10110</t>
  </si>
  <si>
    <t>Skincare Item 164</t>
  </si>
  <si>
    <t>O-10111</t>
  </si>
  <si>
    <t>Men Item 49</t>
  </si>
  <si>
    <t>O-10112</t>
  </si>
  <si>
    <t>Cameras Item 144</t>
  </si>
  <si>
    <t>O-10113</t>
  </si>
  <si>
    <t>Appliances Item 156</t>
  </si>
  <si>
    <t>O-10114</t>
  </si>
  <si>
    <t>Haircare Item 60</t>
  </si>
  <si>
    <t>O-10115</t>
  </si>
  <si>
    <t>Fitness Item 155</t>
  </si>
  <si>
    <t>O-10116</t>
  </si>
  <si>
    <t>Fitness Item 157</t>
  </si>
  <si>
    <t>O-10117</t>
  </si>
  <si>
    <t>Outdoor Item 115</t>
  </si>
  <si>
    <t>O-10118</t>
  </si>
  <si>
    <t>Phones Item 109</t>
  </si>
  <si>
    <t>O-10119</t>
  </si>
  <si>
    <t>Men Item 146</t>
  </si>
  <si>
    <t>O-10120</t>
  </si>
  <si>
    <t>Makeup Item 63</t>
  </si>
  <si>
    <t>O-10121</t>
  </si>
  <si>
    <t>Outdoor Item 105</t>
  </si>
  <si>
    <t>O-10122</t>
  </si>
  <si>
    <t>Outdoor Item 197</t>
  </si>
  <si>
    <t>O-10123</t>
  </si>
  <si>
    <t>Phones Item 53</t>
  </si>
  <si>
    <t>O-10124</t>
  </si>
  <si>
    <t>Skincare Item 110</t>
  </si>
  <si>
    <t>O-10125</t>
  </si>
  <si>
    <t>Women Item 32</t>
  </si>
  <si>
    <t>O-10126</t>
  </si>
  <si>
    <t>Furniture Item 162</t>
  </si>
  <si>
    <t>O-10127</t>
  </si>
  <si>
    <t>Women Item 193</t>
  </si>
  <si>
    <t>O-10128</t>
  </si>
  <si>
    <t>Decor Item 112</t>
  </si>
  <si>
    <t>O-10129</t>
  </si>
  <si>
    <t>Kids Item 75</t>
  </si>
  <si>
    <t>O-10130</t>
  </si>
  <si>
    <t>Kids Item 98</t>
  </si>
  <si>
    <t>O-10131</t>
  </si>
  <si>
    <t>Makeup Item 166</t>
  </si>
  <si>
    <t>O-10132</t>
  </si>
  <si>
    <t>Equipment Item 133</t>
  </si>
  <si>
    <t>O-10133</t>
  </si>
  <si>
    <t>O-10134</t>
  </si>
  <si>
    <t>Fitness Item 126</t>
  </si>
  <si>
    <t>O-10135</t>
  </si>
  <si>
    <t>Cameras Item 183</t>
  </si>
  <si>
    <t>O-10136</t>
  </si>
  <si>
    <t>Haircare Item 132</t>
  </si>
  <si>
    <t>O-10137</t>
  </si>
  <si>
    <t>Kids Item 93</t>
  </si>
  <si>
    <t>O-10138</t>
  </si>
  <si>
    <t>Cameras Item 92</t>
  </si>
  <si>
    <t>O-10139</t>
  </si>
  <si>
    <t>Skincare Item 133</t>
  </si>
  <si>
    <t>O-10140</t>
  </si>
  <si>
    <t>Makeup Item 45</t>
  </si>
  <si>
    <t>O-10141</t>
  </si>
  <si>
    <t>Decor Item 56</t>
  </si>
  <si>
    <t>O-10142</t>
  </si>
  <si>
    <t>Skincare Item 8</t>
  </si>
  <si>
    <t>O-10143</t>
  </si>
  <si>
    <t>Women Item 56</t>
  </si>
  <si>
    <t>O-10144</t>
  </si>
  <si>
    <t>Skincare Item 109</t>
  </si>
  <si>
    <t>O-10145</t>
  </si>
  <si>
    <t>Furniture Item 111</t>
  </si>
  <si>
    <t>O-10146</t>
  </si>
  <si>
    <t>Laptops Item 192</t>
  </si>
  <si>
    <t>O-10147</t>
  </si>
  <si>
    <t>Kids Item 185</t>
  </si>
  <si>
    <t>O-10148</t>
  </si>
  <si>
    <t>Haircare Item 145</t>
  </si>
  <si>
    <t>O-10149</t>
  </si>
  <si>
    <t>Outdoor Item 109</t>
  </si>
  <si>
    <t>O-10150</t>
  </si>
  <si>
    <t>Makeup Item 111</t>
  </si>
  <si>
    <t>O-10151</t>
  </si>
  <si>
    <t>Accessories Item 169</t>
  </si>
  <si>
    <t>O-10152</t>
  </si>
  <si>
    <t>Makeup Item 184</t>
  </si>
  <si>
    <t>O-10153</t>
  </si>
  <si>
    <t>Kids Item 181</t>
  </si>
  <si>
    <t>O-10154</t>
  </si>
  <si>
    <t>Cameras Item 4</t>
  </si>
  <si>
    <t>O-10155</t>
  </si>
  <si>
    <t>Fitness Item 31</t>
  </si>
  <si>
    <t>O-10156</t>
  </si>
  <si>
    <t>Laptops Item 66</t>
  </si>
  <si>
    <t>O-10157</t>
  </si>
  <si>
    <t>Skincare Item 113</t>
  </si>
  <si>
    <t>O-10158</t>
  </si>
  <si>
    <t>Skincare Item 194</t>
  </si>
  <si>
    <t>O-10159</t>
  </si>
  <si>
    <t>Haircare Item 44</t>
  </si>
  <si>
    <t>O-10160</t>
  </si>
  <si>
    <t>Equipment Item 20</t>
  </si>
  <si>
    <t>O-10161</t>
  </si>
  <si>
    <t>Laptops Item 38</t>
  </si>
  <si>
    <t>O-10162</t>
  </si>
  <si>
    <t>Skincare Item 161</t>
  </si>
  <si>
    <t>O-10163</t>
  </si>
  <si>
    <t>Women Item 172</t>
  </si>
  <si>
    <t>O-10164</t>
  </si>
  <si>
    <t>Kids Item 63</t>
  </si>
  <si>
    <t>O-10165</t>
  </si>
  <si>
    <t>Accessories Item 163</t>
  </si>
  <si>
    <t>O-10166</t>
  </si>
  <si>
    <t>Kids Item 178</t>
  </si>
  <si>
    <t>O-10167</t>
  </si>
  <si>
    <t>Cameras Item 35</t>
  </si>
  <si>
    <t>O-10168</t>
  </si>
  <si>
    <t>Men Item 72</t>
  </si>
  <si>
    <t>O-10169</t>
  </si>
  <si>
    <t>Laptops Item 165</t>
  </si>
  <si>
    <t>O-10170</t>
  </si>
  <si>
    <t>Phones Item 89</t>
  </si>
  <si>
    <t>O-10171</t>
  </si>
  <si>
    <t>Makeup Item 32</t>
  </si>
  <si>
    <t>O-10172</t>
  </si>
  <si>
    <t>Laptops Item 143</t>
  </si>
  <si>
    <t>O-10173</t>
  </si>
  <si>
    <t>Accessories Item 194</t>
  </si>
  <si>
    <t>O-10174</t>
  </si>
  <si>
    <t>Kids Item 179</t>
  </si>
  <si>
    <t>O-10175</t>
  </si>
  <si>
    <t>Appliances Item 192</t>
  </si>
  <si>
    <t>O-10176</t>
  </si>
  <si>
    <t>Kids Item 155</t>
  </si>
  <si>
    <t>O-10177</t>
  </si>
  <si>
    <t>Fitness Item 183</t>
  </si>
  <si>
    <t>O-10178</t>
  </si>
  <si>
    <t>Appliances Item 5</t>
  </si>
  <si>
    <t>O-10179</t>
  </si>
  <si>
    <t>Phones Item 47</t>
  </si>
  <si>
    <t>O-10180</t>
  </si>
  <si>
    <t>Cameras Item 157</t>
  </si>
  <si>
    <t>O-10181</t>
  </si>
  <si>
    <t>Women Item 155</t>
  </si>
  <si>
    <t>O-10182</t>
  </si>
  <si>
    <t>Laptops Item 69</t>
  </si>
  <si>
    <t>O-10183</t>
  </si>
  <si>
    <t>Men Item 23</t>
  </si>
  <si>
    <t>O-10184</t>
  </si>
  <si>
    <t>Equipment Item 104</t>
  </si>
  <si>
    <t>O-10185</t>
  </si>
  <si>
    <t>Fitness Item 120</t>
  </si>
  <si>
    <t>O-10186</t>
  </si>
  <si>
    <t>Kids Item 137</t>
  </si>
  <si>
    <t>O-10187</t>
  </si>
  <si>
    <t>Outdoor Item 1</t>
  </si>
  <si>
    <t>O-10188</t>
  </si>
  <si>
    <t>O-10189</t>
  </si>
  <si>
    <t>Cameras Item 115</t>
  </si>
  <si>
    <t>O-10190</t>
  </si>
  <si>
    <t>Fitness Item 137</t>
  </si>
  <si>
    <t>O-10191</t>
  </si>
  <si>
    <t>Makeup Item 25</t>
  </si>
  <si>
    <t>O-10192</t>
  </si>
  <si>
    <t>Haircare Item 162</t>
  </si>
  <si>
    <t>O-10193</t>
  </si>
  <si>
    <t>O-10194</t>
  </si>
  <si>
    <t>Outdoor Item 29</t>
  </si>
  <si>
    <t>O-10195</t>
  </si>
  <si>
    <t>Appliances Item 49</t>
  </si>
  <si>
    <t>O-10196</t>
  </si>
  <si>
    <t>Kids Item 118</t>
  </si>
  <si>
    <t>O-10197</t>
  </si>
  <si>
    <t>Makeup Item 179</t>
  </si>
  <si>
    <t>O-10198</t>
  </si>
  <si>
    <t>Haircare Item 29</t>
  </si>
  <si>
    <t>O-10199</t>
  </si>
  <si>
    <t>Haircare Item 115</t>
  </si>
  <si>
    <t>O-10200</t>
  </si>
  <si>
    <t>Accessories Item 114</t>
  </si>
  <si>
    <t>O-10201</t>
  </si>
  <si>
    <t>Appliances Item 157</t>
  </si>
  <si>
    <t>O-10202</t>
  </si>
  <si>
    <t>Decor Item 110</t>
  </si>
  <si>
    <t>O-10203</t>
  </si>
  <si>
    <t>O-10204</t>
  </si>
  <si>
    <t>Cameras Item 72</t>
  </si>
  <si>
    <t>O-10205</t>
  </si>
  <si>
    <t>Furniture Item 92</t>
  </si>
  <si>
    <t>O-10206</t>
  </si>
  <si>
    <t>Appliances Item 78</t>
  </si>
  <si>
    <t>O-10207</t>
  </si>
  <si>
    <t>Men Item 142</t>
  </si>
  <si>
    <t>O-10208</t>
  </si>
  <si>
    <t>Fitness Item 151</t>
  </si>
  <si>
    <t>O-10209</t>
  </si>
  <si>
    <t>Cameras Item 82</t>
  </si>
  <si>
    <t>O-10210</t>
  </si>
  <si>
    <t>Skincare Item 195</t>
  </si>
  <si>
    <t>O-10211</t>
  </si>
  <si>
    <t>Men Item 137</t>
  </si>
  <si>
    <t>O-10212</t>
  </si>
  <si>
    <t>Laptops Item 24</t>
  </si>
  <si>
    <t>O-10213</t>
  </si>
  <si>
    <t>Equipment Item 128</t>
  </si>
  <si>
    <t>O-10214</t>
  </si>
  <si>
    <t>Appliances Item 9</t>
  </si>
  <si>
    <t>O-10215</t>
  </si>
  <si>
    <t>Equipment Item 4</t>
  </si>
  <si>
    <t>O-10216</t>
  </si>
  <si>
    <t>Appliances Item 70</t>
  </si>
  <si>
    <t>O-10217</t>
  </si>
  <si>
    <t>Men Item 166</t>
  </si>
  <si>
    <t>O-10218</t>
  </si>
  <si>
    <t>Equipment Item 76</t>
  </si>
  <si>
    <t>O-10219</t>
  </si>
  <si>
    <t>Equipment Item 134</t>
  </si>
  <si>
    <t>O-10220</t>
  </si>
  <si>
    <t>O-10221</t>
  </si>
  <si>
    <t>Men Item 46</t>
  </si>
  <si>
    <t>O-10222</t>
  </si>
  <si>
    <t>Makeup Item 36</t>
  </si>
  <si>
    <t>O-10223</t>
  </si>
  <si>
    <t>Cameras Item 164</t>
  </si>
  <si>
    <t>O-10224</t>
  </si>
  <si>
    <t>Decor Item 98</t>
  </si>
  <si>
    <t>O-10225</t>
  </si>
  <si>
    <t>Fitness Item 56</t>
  </si>
  <si>
    <t>O-10226</t>
  </si>
  <si>
    <t>Kids Item 81</t>
  </si>
  <si>
    <t>O-10227</t>
  </si>
  <si>
    <t>O-10228</t>
  </si>
  <si>
    <t>Accessories Item 171</t>
  </si>
  <si>
    <t>O-10229</t>
  </si>
  <si>
    <t>Women Item 108</t>
  </si>
  <si>
    <t>O-10230</t>
  </si>
  <si>
    <t>Furniture Item 101</t>
  </si>
  <si>
    <t>O-10231</t>
  </si>
  <si>
    <t>Laptops Item 57</t>
  </si>
  <si>
    <t>O-10232</t>
  </si>
  <si>
    <t>O-10233</t>
  </si>
  <si>
    <t>Furniture Item 25</t>
  </si>
  <si>
    <t>O-10234</t>
  </si>
  <si>
    <t>Equipment Item 32</t>
  </si>
  <si>
    <t>O-10235</t>
  </si>
  <si>
    <t>Accessories Item 135</t>
  </si>
  <si>
    <t>O-10236</t>
  </si>
  <si>
    <t>Outdoor Item 72</t>
  </si>
  <si>
    <t>O-10237</t>
  </si>
  <si>
    <t>Equipment Item 116</t>
  </si>
  <si>
    <t>O-10238</t>
  </si>
  <si>
    <t>Men Item 17</t>
  </si>
  <si>
    <t>O-10239</t>
  </si>
  <si>
    <t>Equipment Item 45</t>
  </si>
  <si>
    <t>O-10240</t>
  </si>
  <si>
    <t>Laptops Item 108</t>
  </si>
  <si>
    <t>O-10241</t>
  </si>
  <si>
    <t>O-10242</t>
  </si>
  <si>
    <t>O-10243</t>
  </si>
  <si>
    <t>Phones Item 158</t>
  </si>
  <si>
    <t>O-10244</t>
  </si>
  <si>
    <t>Kids Item 46</t>
  </si>
  <si>
    <t>O-10245</t>
  </si>
  <si>
    <t>Laptops Item 185</t>
  </si>
  <si>
    <t>O-10246</t>
  </si>
  <si>
    <t>Skincare Item 84</t>
  </si>
  <si>
    <t>O-10247</t>
  </si>
  <si>
    <t>O-10248</t>
  </si>
  <si>
    <t>Furniture Item 153</t>
  </si>
  <si>
    <t>O-10249</t>
  </si>
  <si>
    <t>O-10250</t>
  </si>
  <si>
    <t>Appliances Item 37</t>
  </si>
  <si>
    <t>O-10251</t>
  </si>
  <si>
    <t>Cameras Item 46</t>
  </si>
  <si>
    <t>O-10252</t>
  </si>
  <si>
    <t>Men Item 4</t>
  </si>
  <si>
    <t>O-10253</t>
  </si>
  <si>
    <t>Haircare Item 117</t>
  </si>
  <si>
    <t>O-10254</t>
  </si>
  <si>
    <t>Equipment Item 3</t>
  </si>
  <si>
    <t>O-10255</t>
  </si>
  <si>
    <t>Kids Item 177</t>
  </si>
  <si>
    <t>O-10256</t>
  </si>
  <si>
    <t>Outdoor Item 123</t>
  </si>
  <si>
    <t>O-10257</t>
  </si>
  <si>
    <t>Outdoor Item 3</t>
  </si>
  <si>
    <t>O-10258</t>
  </si>
  <si>
    <t>Skincare Item 73</t>
  </si>
  <si>
    <t>O-10259</t>
  </si>
  <si>
    <t>Men Item 184</t>
  </si>
  <si>
    <t>O-10260</t>
  </si>
  <si>
    <t>Men Item 170</t>
  </si>
  <si>
    <t>O-10261</t>
  </si>
  <si>
    <t>Equipment Item 187</t>
  </si>
  <si>
    <t>O-10262</t>
  </si>
  <si>
    <t>O-10263</t>
  </si>
  <si>
    <t>Makeup Item 114</t>
  </si>
  <si>
    <t>O-10264</t>
  </si>
  <si>
    <t>Haircare Item 40</t>
  </si>
  <si>
    <t>O-10265</t>
  </si>
  <si>
    <t>Makeup Item 80</t>
  </si>
  <si>
    <t>O-10266</t>
  </si>
  <si>
    <t>Appliances Item 13</t>
  </si>
  <si>
    <t>O-10267</t>
  </si>
  <si>
    <t>Fitness Item 191</t>
  </si>
  <si>
    <t>O-10268</t>
  </si>
  <si>
    <t>Fitness Item 58</t>
  </si>
  <si>
    <t>O-10269</t>
  </si>
  <si>
    <t>Men Item 107</t>
  </si>
  <si>
    <t>O-10270</t>
  </si>
  <si>
    <t>Skincare Item 2</t>
  </si>
  <si>
    <t>O-10271</t>
  </si>
  <si>
    <t>Skincare Item 46</t>
  </si>
  <si>
    <t>O-10272</t>
  </si>
  <si>
    <t>Phones Item 98</t>
  </si>
  <si>
    <t>O-10273</t>
  </si>
  <si>
    <t>Furniture Item 158</t>
  </si>
  <si>
    <t>O-10274</t>
  </si>
  <si>
    <t>Skincare Item 60</t>
  </si>
  <si>
    <t>O-10275</t>
  </si>
  <si>
    <t>Phones Item 148</t>
  </si>
  <si>
    <t>O-10276</t>
  </si>
  <si>
    <t>Equipment Item 17</t>
  </si>
  <si>
    <t>O-10277</t>
  </si>
  <si>
    <t>Kids Item 22</t>
  </si>
  <si>
    <t>O-10278</t>
  </si>
  <si>
    <t>Kids Item 175</t>
  </si>
  <si>
    <t>O-10279</t>
  </si>
  <si>
    <t>Fitness Item 7</t>
  </si>
  <si>
    <t>O-10280</t>
  </si>
  <si>
    <t>Makeup Item 160</t>
  </si>
  <si>
    <t>O-10281</t>
  </si>
  <si>
    <t>Skincare Item 29</t>
  </si>
  <si>
    <t>O-10282</t>
  </si>
  <si>
    <t>Furniture Item 15</t>
  </si>
  <si>
    <t>O-10283</t>
  </si>
  <si>
    <t>Men Item 84</t>
  </si>
  <si>
    <t>O-10284</t>
  </si>
  <si>
    <t>Decor Item 92</t>
  </si>
  <si>
    <t>O-10285</t>
  </si>
  <si>
    <t>Decor Item 185</t>
  </si>
  <si>
    <t>O-10286</t>
  </si>
  <si>
    <t>Makeup Item 162</t>
  </si>
  <si>
    <t>O-10287</t>
  </si>
  <si>
    <t>Outdoor Item 18</t>
  </si>
  <si>
    <t>O-10288</t>
  </si>
  <si>
    <t>Laptops Item 93</t>
  </si>
  <si>
    <t>O-10289</t>
  </si>
  <si>
    <t>Makeup Item 93</t>
  </si>
  <si>
    <t>O-10290</t>
  </si>
  <si>
    <t>Equipment Item 131</t>
  </si>
  <si>
    <t>O-10291</t>
  </si>
  <si>
    <t>Haircare Item 17</t>
  </si>
  <si>
    <t>O-10292</t>
  </si>
  <si>
    <t>Makeup Item 176</t>
  </si>
  <si>
    <t>O-10293</t>
  </si>
  <si>
    <t>Cameras Item 130</t>
  </si>
  <si>
    <t>O-10294</t>
  </si>
  <si>
    <t>Skincare Item 64</t>
  </si>
  <si>
    <t>O-10295</t>
  </si>
  <si>
    <t>Furniture Item 33</t>
  </si>
  <si>
    <t>O-10296</t>
  </si>
  <si>
    <t>Women Item 179</t>
  </si>
  <si>
    <t>O-10297</t>
  </si>
  <si>
    <t>Accessories Item 160</t>
  </si>
  <si>
    <t>O-10298</t>
  </si>
  <si>
    <t>Equipment Item 161</t>
  </si>
  <si>
    <t>O-10299</t>
  </si>
  <si>
    <t>Fitness Item 33</t>
  </si>
  <si>
    <t>O-10300</t>
  </si>
  <si>
    <t>Fitness Item 150</t>
  </si>
  <si>
    <t>O-10301</t>
  </si>
  <si>
    <t>Haircare Item 122</t>
  </si>
  <si>
    <t>O-10302</t>
  </si>
  <si>
    <t>Furniture Item 49</t>
  </si>
  <si>
    <t>O-10303</t>
  </si>
  <si>
    <t>Skincare Item 6</t>
  </si>
  <si>
    <t>O-10304</t>
  </si>
  <si>
    <t>Laptops Item 72</t>
  </si>
  <si>
    <t>O-10305</t>
  </si>
  <si>
    <t>Cameras Item 127</t>
  </si>
  <si>
    <t>O-10306</t>
  </si>
  <si>
    <t>O-10307</t>
  </si>
  <si>
    <t>Accessories Item 106</t>
  </si>
  <si>
    <t>O-10308</t>
  </si>
  <si>
    <t>Skincare Item 12</t>
  </si>
  <si>
    <t>O-10309</t>
  </si>
  <si>
    <t>Equipment Item 100</t>
  </si>
  <si>
    <t>O-10310</t>
  </si>
  <si>
    <t>Outdoor Item 51</t>
  </si>
  <si>
    <t>O-10311</t>
  </si>
  <si>
    <t>Accessories Item 37</t>
  </si>
  <si>
    <t>O-10312</t>
  </si>
  <si>
    <t>Phones Item 35</t>
  </si>
  <si>
    <t>O-10313</t>
  </si>
  <si>
    <t>Laptops Item 135</t>
  </si>
  <si>
    <t>O-10314</t>
  </si>
  <si>
    <t>Appliances Item 148</t>
  </si>
  <si>
    <t>O-10315</t>
  </si>
  <si>
    <t>Equipment Item 177</t>
  </si>
  <si>
    <t>O-10316</t>
  </si>
  <si>
    <t>Furniture Item 98</t>
  </si>
  <si>
    <t>O-10317</t>
  </si>
  <si>
    <t>Laptops Item 170</t>
  </si>
  <si>
    <t>O-10318</t>
  </si>
  <si>
    <t>Makeup Item 18</t>
  </si>
  <si>
    <t>O-10319</t>
  </si>
  <si>
    <t>Men Item 100</t>
  </si>
  <si>
    <t>O-10320</t>
  </si>
  <si>
    <t>Kids Item 78</t>
  </si>
  <si>
    <t>O-10321</t>
  </si>
  <si>
    <t>Decor Item 62</t>
  </si>
  <si>
    <t>O-10322</t>
  </si>
  <si>
    <t>Equipment Item 130</t>
  </si>
  <si>
    <t>O-10323</t>
  </si>
  <si>
    <t>Fitness Item 66</t>
  </si>
  <si>
    <t>O-10324</t>
  </si>
  <si>
    <t>Equipment Item 184</t>
  </si>
  <si>
    <t>O-10325</t>
  </si>
  <si>
    <t>Furniture Item 10</t>
  </si>
  <si>
    <t>O-10326</t>
  </si>
  <si>
    <t>O-10327</t>
  </si>
  <si>
    <t>Women Item 121</t>
  </si>
  <si>
    <t>O-10328</t>
  </si>
  <si>
    <t>Decor Item 120</t>
  </si>
  <si>
    <t>O-10329</t>
  </si>
  <si>
    <t>Laptops Item 130</t>
  </si>
  <si>
    <t>O-10330</t>
  </si>
  <si>
    <t>Women Item 119</t>
  </si>
  <si>
    <t>O-10331</t>
  </si>
  <si>
    <t>Accessories Item 179</t>
  </si>
  <si>
    <t>O-10332</t>
  </si>
  <si>
    <t>Kids Item 43</t>
  </si>
  <si>
    <t>O-10333</t>
  </si>
  <si>
    <t>Outdoor Item 39</t>
  </si>
  <si>
    <t>O-10334</t>
  </si>
  <si>
    <t>Cameras Item 84</t>
  </si>
  <si>
    <t>O-10335</t>
  </si>
  <si>
    <t>Cameras Item 8</t>
  </si>
  <si>
    <t>O-10336</t>
  </si>
  <si>
    <t>Kids Item 96</t>
  </si>
  <si>
    <t>O-10337</t>
  </si>
  <si>
    <t>Cameras Item 55</t>
  </si>
  <si>
    <t>O-10338</t>
  </si>
  <si>
    <t>Men Item 136</t>
  </si>
  <si>
    <t>O-10339</t>
  </si>
  <si>
    <t>Accessories Item 46</t>
  </si>
  <si>
    <t>O-10340</t>
  </si>
  <si>
    <t>Women Item 53</t>
  </si>
  <si>
    <t>O-10341</t>
  </si>
  <si>
    <t>O-10342</t>
  </si>
  <si>
    <t>Kids Item 169</t>
  </si>
  <si>
    <t>O-10343</t>
  </si>
  <si>
    <t>Haircare Item 68</t>
  </si>
  <si>
    <t>O-10344</t>
  </si>
  <si>
    <t>Women Item 19</t>
  </si>
  <si>
    <t>O-10345</t>
  </si>
  <si>
    <t>Furniture Item 83</t>
  </si>
  <si>
    <t>O-10346</t>
  </si>
  <si>
    <t>Skincare Item 89</t>
  </si>
  <si>
    <t>O-10347</t>
  </si>
  <si>
    <t>Appliances Item 143</t>
  </si>
  <si>
    <t>O-10348</t>
  </si>
  <si>
    <t>O-10349</t>
  </si>
  <si>
    <t>Men Item 85</t>
  </si>
  <si>
    <t>O-10350</t>
  </si>
  <si>
    <t>Women Item 154</t>
  </si>
  <si>
    <t>O-10351</t>
  </si>
  <si>
    <t>Furniture Item 44</t>
  </si>
  <si>
    <t>O-10352</t>
  </si>
  <si>
    <t>Kids Item 108</t>
  </si>
  <si>
    <t>O-10353</t>
  </si>
  <si>
    <t>Makeup Item 47</t>
  </si>
  <si>
    <t>O-10354</t>
  </si>
  <si>
    <t>Haircare Item 15</t>
  </si>
  <si>
    <t>O-10355</t>
  </si>
  <si>
    <t>Outdoor Item 125</t>
  </si>
  <si>
    <t>O-10356</t>
  </si>
  <si>
    <t>Furniture Item 157</t>
  </si>
  <si>
    <t>O-10357</t>
  </si>
  <si>
    <t>Makeup Item 164</t>
  </si>
  <si>
    <t>O-10358</t>
  </si>
  <si>
    <t>Decor Item 90</t>
  </si>
  <si>
    <t>O-10359</t>
  </si>
  <si>
    <t>Accessories Item 39</t>
  </si>
  <si>
    <t>O-10360</t>
  </si>
  <si>
    <t>Skincare Item 170</t>
  </si>
  <si>
    <t>O-10361</t>
  </si>
  <si>
    <t>Phones Item 118</t>
  </si>
  <si>
    <t>O-10362</t>
  </si>
  <si>
    <t>Equipment Item 106</t>
  </si>
  <si>
    <t>O-10363</t>
  </si>
  <si>
    <t>O-10364</t>
  </si>
  <si>
    <t>O-10365</t>
  </si>
  <si>
    <t>Men Item 68</t>
  </si>
  <si>
    <t>O-10366</t>
  </si>
  <si>
    <t>Makeup Item 89</t>
  </si>
  <si>
    <t>O-10367</t>
  </si>
  <si>
    <t>Kids Item 69</t>
  </si>
  <si>
    <t>O-10368</t>
  </si>
  <si>
    <t>Laptops Item 119</t>
  </si>
  <si>
    <t>O-10369</t>
  </si>
  <si>
    <t>Equipment Item 163</t>
  </si>
  <si>
    <t>O-10370</t>
  </si>
  <si>
    <t>Women Item 185</t>
  </si>
  <si>
    <t>O-10371</t>
  </si>
  <si>
    <t>Equipment Item 85</t>
  </si>
  <si>
    <t>O-10372</t>
  </si>
  <si>
    <t>Skincare Item 24</t>
  </si>
  <si>
    <t>O-10373</t>
  </si>
  <si>
    <t>Decor Item 42</t>
  </si>
  <si>
    <t>O-10374</t>
  </si>
  <si>
    <t>Appliances Item 164</t>
  </si>
  <si>
    <t>O-10375</t>
  </si>
  <si>
    <t>Skincare Item 169</t>
  </si>
  <si>
    <t>O-10376</t>
  </si>
  <si>
    <t>Skincare Item 172</t>
  </si>
  <si>
    <t>O-10377</t>
  </si>
  <si>
    <t>Men Item 50</t>
  </si>
  <si>
    <t>O-10378</t>
  </si>
  <si>
    <t>O-10379</t>
  </si>
  <si>
    <t>Haircare Item 30</t>
  </si>
  <si>
    <t>O-10380</t>
  </si>
  <si>
    <t>Fitness Item 197</t>
  </si>
  <si>
    <t>O-10381</t>
  </si>
  <si>
    <t>Decor Item 190</t>
  </si>
  <si>
    <t>O-10382</t>
  </si>
  <si>
    <t>Fitness Item 144</t>
  </si>
  <si>
    <t>O-10383</t>
  </si>
  <si>
    <t>Furniture Item 23</t>
  </si>
  <si>
    <t>O-10384</t>
  </si>
  <si>
    <t>Makeup Item 108</t>
  </si>
  <si>
    <t>O-10385</t>
  </si>
  <si>
    <t>Laptops Item 32</t>
  </si>
  <si>
    <t>O-10386</t>
  </si>
  <si>
    <t>Decor Item 142</t>
  </si>
  <si>
    <t>O-10387</t>
  </si>
  <si>
    <t>Laptops Item 105</t>
  </si>
  <si>
    <t>O-10388</t>
  </si>
  <si>
    <t>Kids Item 190</t>
  </si>
  <si>
    <t>O-10389</t>
  </si>
  <si>
    <t>Men Item 163</t>
  </si>
  <si>
    <t>O-10390</t>
  </si>
  <si>
    <t>Appliances Item 12</t>
  </si>
  <si>
    <t>O-10391</t>
  </si>
  <si>
    <t>Skincare Item 158</t>
  </si>
  <si>
    <t>O-10392</t>
  </si>
  <si>
    <t>O-10393</t>
  </si>
  <si>
    <t>O-10394</t>
  </si>
  <si>
    <t>Haircare Item 25</t>
  </si>
  <si>
    <t>O-10395</t>
  </si>
  <si>
    <t>Fitness Item 14</t>
  </si>
  <si>
    <t>O-10396</t>
  </si>
  <si>
    <t>Skincare Item 131</t>
  </si>
  <si>
    <t>O-10397</t>
  </si>
  <si>
    <t>Haircare Item 136</t>
  </si>
  <si>
    <t>O-10398</t>
  </si>
  <si>
    <t>Makeup Item 173</t>
  </si>
  <si>
    <t>O-10399</t>
  </si>
  <si>
    <t>O-10400</t>
  </si>
  <si>
    <t>Equipment Item 31</t>
  </si>
  <si>
    <t>O-10401</t>
  </si>
  <si>
    <t>Outdoor Item 130</t>
  </si>
  <si>
    <t>O-10402</t>
  </si>
  <si>
    <t>Haircare Item 83</t>
  </si>
  <si>
    <t>O-10403</t>
  </si>
  <si>
    <t>Fitness Item 115</t>
  </si>
  <si>
    <t>O-10404</t>
  </si>
  <si>
    <t>Furniture Item 40</t>
  </si>
  <si>
    <t>O-10405</t>
  </si>
  <si>
    <t>Equipment Item 52</t>
  </si>
  <si>
    <t>O-10406</t>
  </si>
  <si>
    <t>O-10407</t>
  </si>
  <si>
    <t>Cameras Item 14</t>
  </si>
  <si>
    <t>O-10408</t>
  </si>
  <si>
    <t>Phones Item 130</t>
  </si>
  <si>
    <t>O-10409</t>
  </si>
  <si>
    <t>Haircare Item 149</t>
  </si>
  <si>
    <t>O-10410</t>
  </si>
  <si>
    <t>O-10411</t>
  </si>
  <si>
    <t>Appliances Item 82</t>
  </si>
  <si>
    <t>O-10412</t>
  </si>
  <si>
    <t>Men Item 188</t>
  </si>
  <si>
    <t>O-10413</t>
  </si>
  <si>
    <t>Women Item 117</t>
  </si>
  <si>
    <t>O-10414</t>
  </si>
  <si>
    <t>Men Item 82</t>
  </si>
  <si>
    <t>O-10415</t>
  </si>
  <si>
    <t>Laptops Item 42</t>
  </si>
  <si>
    <t>O-10416</t>
  </si>
  <si>
    <t>O-10417</t>
  </si>
  <si>
    <t>O-10418</t>
  </si>
  <si>
    <t>Women Item 21</t>
  </si>
  <si>
    <t>O-10419</t>
  </si>
  <si>
    <t>Furniture Item 177</t>
  </si>
  <si>
    <t>O-10420</t>
  </si>
  <si>
    <t>Equipment Item 69</t>
  </si>
  <si>
    <t>O-10421</t>
  </si>
  <si>
    <t>Laptops Item 77</t>
  </si>
  <si>
    <t>O-10422</t>
  </si>
  <si>
    <t>Phones Item 179</t>
  </si>
  <si>
    <t>O-10423</t>
  </si>
  <si>
    <t>Cameras Item 21</t>
  </si>
  <si>
    <t>O-10424</t>
  </si>
  <si>
    <t>Phones Item 135</t>
  </si>
  <si>
    <t>O-10425</t>
  </si>
  <si>
    <t>Fitness Item 5</t>
  </si>
  <si>
    <t>O-10426</t>
  </si>
  <si>
    <t>Laptops Item 111</t>
  </si>
  <si>
    <t>O-10427</t>
  </si>
  <si>
    <t>Fitness Item 153</t>
  </si>
  <si>
    <t>O-10428</t>
  </si>
  <si>
    <t>Equipment Item 68</t>
  </si>
  <si>
    <t>O-10429</t>
  </si>
  <si>
    <t>Accessories Item 190</t>
  </si>
  <si>
    <t>O-10430</t>
  </si>
  <si>
    <t>Furniture Item 2</t>
  </si>
  <si>
    <t>O-10431</t>
  </si>
  <si>
    <t>Decor Item 32</t>
  </si>
  <si>
    <t>O-10432</t>
  </si>
  <si>
    <t>Decor Item 153</t>
  </si>
  <si>
    <t>O-10433</t>
  </si>
  <si>
    <t>Equipment Item 172</t>
  </si>
  <si>
    <t>O-10434</t>
  </si>
  <si>
    <t>O-10435</t>
  </si>
  <si>
    <t>Outdoor Item 175</t>
  </si>
  <si>
    <t>O-10436</t>
  </si>
  <si>
    <t>Men Item 104</t>
  </si>
  <si>
    <t>O-10437</t>
  </si>
  <si>
    <t>Equipment Item 86</t>
  </si>
  <si>
    <t>O-10438</t>
  </si>
  <si>
    <t>Haircare Item 2</t>
  </si>
  <si>
    <t>O-10439</t>
  </si>
  <si>
    <t>Men Item 151</t>
  </si>
  <si>
    <t>O-10440</t>
  </si>
  <si>
    <t>Kids Item 97</t>
  </si>
  <si>
    <t>O-10441</t>
  </si>
  <si>
    <t>Outdoor Item 30</t>
  </si>
  <si>
    <t>O-10442</t>
  </si>
  <si>
    <t>O-10443</t>
  </si>
  <si>
    <t>Appliances Item 3</t>
  </si>
  <si>
    <t>O-10444</t>
  </si>
  <si>
    <t>O-10445</t>
  </si>
  <si>
    <t>O-10446</t>
  </si>
  <si>
    <t>Laptops Item 90</t>
  </si>
  <si>
    <t>O-10447</t>
  </si>
  <si>
    <t>O-10448</t>
  </si>
  <si>
    <t>Equipment Item 56</t>
  </si>
  <si>
    <t>O-10449</t>
  </si>
  <si>
    <t>Appliances Item 20</t>
  </si>
  <si>
    <t>O-10450</t>
  </si>
  <si>
    <t>Appliances Item 54</t>
  </si>
  <si>
    <t>O-10451</t>
  </si>
  <si>
    <t>Makeup Item 57</t>
  </si>
  <si>
    <t>O-10452</t>
  </si>
  <si>
    <t>Furniture Item 14</t>
  </si>
  <si>
    <t>O-10453</t>
  </si>
  <si>
    <t>Women Item 132</t>
  </si>
  <si>
    <t>O-10454</t>
  </si>
  <si>
    <t>Outdoor Item 147</t>
  </si>
  <si>
    <t>O-10455</t>
  </si>
  <si>
    <t>Appliances Item 150</t>
  </si>
  <si>
    <t>O-10456</t>
  </si>
  <si>
    <t>Furniture Item 19</t>
  </si>
  <si>
    <t>O-10457</t>
  </si>
  <si>
    <t>Equipment Item 183</t>
  </si>
  <si>
    <t>O-10458</t>
  </si>
  <si>
    <t>Outdoor Item 47</t>
  </si>
  <si>
    <t>O-10459</t>
  </si>
  <si>
    <t>O-10460</t>
  </si>
  <si>
    <t>Appliances Item 75</t>
  </si>
  <si>
    <t>O-10461</t>
  </si>
  <si>
    <t>Equipment Item 138</t>
  </si>
  <si>
    <t>O-10462</t>
  </si>
  <si>
    <t>Appliances Item 198</t>
  </si>
  <si>
    <t>O-10463</t>
  </si>
  <si>
    <t>Fitness Item 35</t>
  </si>
  <si>
    <t>O-10464</t>
  </si>
  <si>
    <t>Fitness Item 149</t>
  </si>
  <si>
    <t>O-10465</t>
  </si>
  <si>
    <t>Decor Item 4</t>
  </si>
  <si>
    <t>O-10466</t>
  </si>
  <si>
    <t>O-10467</t>
  </si>
  <si>
    <t>Decor Item 60</t>
  </si>
  <si>
    <t>O-10468</t>
  </si>
  <si>
    <t>Fitness Item 36</t>
  </si>
  <si>
    <t>O-10469</t>
  </si>
  <si>
    <t>Women Item 86</t>
  </si>
  <si>
    <t>O-10470</t>
  </si>
  <si>
    <t>Makeup Item 120</t>
  </si>
  <si>
    <t>O-10471</t>
  </si>
  <si>
    <t>Equipment Item 70</t>
  </si>
  <si>
    <t>O-10472</t>
  </si>
  <si>
    <t>Laptops Item 82</t>
  </si>
  <si>
    <t>O-10473</t>
  </si>
  <si>
    <t>O-10474</t>
  </si>
  <si>
    <t>Cameras Item 148</t>
  </si>
  <si>
    <t>O-10475</t>
  </si>
  <si>
    <t>Phones Item 120</t>
  </si>
  <si>
    <t>O-10476</t>
  </si>
  <si>
    <t>Outdoor Item 82</t>
  </si>
  <si>
    <t>O-10477</t>
  </si>
  <si>
    <t>Equipment Item 147</t>
  </si>
  <si>
    <t>O-10478</t>
  </si>
  <si>
    <t>Makeup Item 169</t>
  </si>
  <si>
    <t>O-10479</t>
  </si>
  <si>
    <t>Men Item 71</t>
  </si>
  <si>
    <t>O-10480</t>
  </si>
  <si>
    <t>Outdoor Item 61</t>
  </si>
  <si>
    <t>O-10481</t>
  </si>
  <si>
    <t>Fitness Item 17</t>
  </si>
  <si>
    <t>O-10482</t>
  </si>
  <si>
    <t>Women Item 2</t>
  </si>
  <si>
    <t>O-10483</t>
  </si>
  <si>
    <t>Skincare Item 144</t>
  </si>
  <si>
    <t>O-10484</t>
  </si>
  <si>
    <t>Cameras Item 168</t>
  </si>
  <si>
    <t>O-10485</t>
  </si>
  <si>
    <t>Furniture Item 192</t>
  </si>
  <si>
    <t>O-10486</t>
  </si>
  <si>
    <t>Appliances Item 68</t>
  </si>
  <si>
    <t>O-10487</t>
  </si>
  <si>
    <t>Skincare Item 79</t>
  </si>
  <si>
    <t>O-10488</t>
  </si>
  <si>
    <t>Appliances Item 113</t>
  </si>
  <si>
    <t>O-10489</t>
  </si>
  <si>
    <t>Equipment Item 97</t>
  </si>
  <si>
    <t>O-10490</t>
  </si>
  <si>
    <t>Fitness Item 23</t>
  </si>
  <si>
    <t>O-10491</t>
  </si>
  <si>
    <t>Haircare Item 51</t>
  </si>
  <si>
    <t>O-10492</t>
  </si>
  <si>
    <t>Accessories Item 41</t>
  </si>
  <si>
    <t>O-10493</t>
  </si>
  <si>
    <t>Kids Item 143</t>
  </si>
  <si>
    <t>O-10494</t>
  </si>
  <si>
    <t>O-10495</t>
  </si>
  <si>
    <t>Cameras Item 27</t>
  </si>
  <si>
    <t>O-10496</t>
  </si>
  <si>
    <t>Appliances Item 129</t>
  </si>
  <si>
    <t>O-10497</t>
  </si>
  <si>
    <t>Outdoor Item 107</t>
  </si>
  <si>
    <t>O-10498</t>
  </si>
  <si>
    <t>Skincare Item 137</t>
  </si>
  <si>
    <t>O-10499</t>
  </si>
  <si>
    <t>Cameras Item 109</t>
  </si>
  <si>
    <t>O-10500</t>
  </si>
  <si>
    <t>Skincare Item 4</t>
  </si>
  <si>
    <t>O-10501</t>
  </si>
  <si>
    <t>Kids Item 131</t>
  </si>
  <si>
    <t>O-10502</t>
  </si>
  <si>
    <t>Accessories Item 126</t>
  </si>
  <si>
    <t>O-10503</t>
  </si>
  <si>
    <t>Haircare Item 9</t>
  </si>
  <si>
    <t>O-10504</t>
  </si>
  <si>
    <t>Cameras Item 172</t>
  </si>
  <si>
    <t>O-10505</t>
  </si>
  <si>
    <t>Fitness Item 131</t>
  </si>
  <si>
    <t>O-10506</t>
  </si>
  <si>
    <t>O-10507</t>
  </si>
  <si>
    <t>Skincare Item 51</t>
  </si>
  <si>
    <t>O-10508</t>
  </si>
  <si>
    <t>Appliances Item 17</t>
  </si>
  <si>
    <t>O-10509</t>
  </si>
  <si>
    <t>Outdoor Item 162</t>
  </si>
  <si>
    <t>O-10510</t>
  </si>
  <si>
    <t>Equipment Item 167</t>
  </si>
  <si>
    <t>O-10511</t>
  </si>
  <si>
    <t>Cameras Item 191</t>
  </si>
  <si>
    <t>O-10512</t>
  </si>
  <si>
    <t>Equipment Item 191</t>
  </si>
  <si>
    <t>O-10513</t>
  </si>
  <si>
    <t>Haircare Item 142</t>
  </si>
  <si>
    <t>O-10514</t>
  </si>
  <si>
    <t>Women Item 115</t>
  </si>
  <si>
    <t>O-10515</t>
  </si>
  <si>
    <t>O-10516</t>
  </si>
  <si>
    <t>Kids Item 35</t>
  </si>
  <si>
    <t>O-10517</t>
  </si>
  <si>
    <t>Furniture Item 88</t>
  </si>
  <si>
    <t>O-10518</t>
  </si>
  <si>
    <t>O-10519</t>
  </si>
  <si>
    <t>O-10520</t>
  </si>
  <si>
    <t>Men Item 121</t>
  </si>
  <si>
    <t>O-10521</t>
  </si>
  <si>
    <t>Decor Item 61</t>
  </si>
  <si>
    <t>O-10522</t>
  </si>
  <si>
    <t>Phones Item 161</t>
  </si>
  <si>
    <t>O-10523</t>
  </si>
  <si>
    <t>Haircare Item 41</t>
  </si>
  <si>
    <t>O-10524</t>
  </si>
  <si>
    <t>Haircare Item 105</t>
  </si>
  <si>
    <t>O-10525</t>
  </si>
  <si>
    <t>O-10526</t>
  </si>
  <si>
    <t>Decor Item 35</t>
  </si>
  <si>
    <t>O-10527</t>
  </si>
  <si>
    <t>Decor Item 69</t>
  </si>
  <si>
    <t>O-10528</t>
  </si>
  <si>
    <t>Kids Item 189</t>
  </si>
  <si>
    <t>O-10529</t>
  </si>
  <si>
    <t>Skincare Item 65</t>
  </si>
  <si>
    <t>O-10530</t>
  </si>
  <si>
    <t>Outdoor Item 182</t>
  </si>
  <si>
    <t>O-10531</t>
  </si>
  <si>
    <t>Women Item 150</t>
  </si>
  <si>
    <t>O-10532</t>
  </si>
  <si>
    <t>Makeup Item 157</t>
  </si>
  <si>
    <t>O-10533</t>
  </si>
  <si>
    <t>Women Item 4</t>
  </si>
  <si>
    <t>O-10534</t>
  </si>
  <si>
    <t>Appliances Item 162</t>
  </si>
  <si>
    <t>O-10535</t>
  </si>
  <si>
    <t>Women Item 166</t>
  </si>
  <si>
    <t>O-10536</t>
  </si>
  <si>
    <t>O-10537</t>
  </si>
  <si>
    <t>Men Item 193</t>
  </si>
  <si>
    <t>O-10538</t>
  </si>
  <si>
    <t>Women Item 35</t>
  </si>
  <si>
    <t>O-10539</t>
  </si>
  <si>
    <t>Fitness Item 189</t>
  </si>
  <si>
    <t>O-10540</t>
  </si>
  <si>
    <t>O-10541</t>
  </si>
  <si>
    <t>Phones Item 62</t>
  </si>
  <si>
    <t>O-10542</t>
  </si>
  <si>
    <t>Outdoor Item 37</t>
  </si>
  <si>
    <t>O-10543</t>
  </si>
  <si>
    <t>Decor Item 167</t>
  </si>
  <si>
    <t>O-10544</t>
  </si>
  <si>
    <t>Phones Item 147</t>
  </si>
  <si>
    <t>O-10545</t>
  </si>
  <si>
    <t>Haircare Item 76</t>
  </si>
  <si>
    <t>O-10546</t>
  </si>
  <si>
    <t>O-10547</t>
  </si>
  <si>
    <t>Women Item 8</t>
  </si>
  <si>
    <t>O-10548</t>
  </si>
  <si>
    <t>Cameras Item 177</t>
  </si>
  <si>
    <t>O-10549</t>
  </si>
  <si>
    <t>Laptops Item 161</t>
  </si>
  <si>
    <t>O-10550</t>
  </si>
  <si>
    <t>Makeup Item 168</t>
  </si>
  <si>
    <t>O-10551</t>
  </si>
  <si>
    <t>O-10552</t>
  </si>
  <si>
    <t>Laptops Item 142</t>
  </si>
  <si>
    <t>O-10553</t>
  </si>
  <si>
    <t>Kids Item 28</t>
  </si>
  <si>
    <t>O-10554</t>
  </si>
  <si>
    <t>Furniture Item 93</t>
  </si>
  <si>
    <t>O-10555</t>
  </si>
  <si>
    <t>Cameras Item 163</t>
  </si>
  <si>
    <t>O-10556</t>
  </si>
  <si>
    <t>Cameras Item 62</t>
  </si>
  <si>
    <t>O-10557</t>
  </si>
  <si>
    <t>Cameras Item 38</t>
  </si>
  <si>
    <t>O-10558</t>
  </si>
  <si>
    <t>Kids Item 99</t>
  </si>
  <si>
    <t>O-10559</t>
  </si>
  <si>
    <t>Furniture Item 30</t>
  </si>
  <si>
    <t>O-10560</t>
  </si>
  <si>
    <t>Kids Item 156</t>
  </si>
  <si>
    <t>O-10561</t>
  </si>
  <si>
    <t>Phones Item 75</t>
  </si>
  <si>
    <t>O-10562</t>
  </si>
  <si>
    <t>Haircare Item 161</t>
  </si>
  <si>
    <t>O-10563</t>
  </si>
  <si>
    <t>Appliances Item 196</t>
  </si>
  <si>
    <t>O-10564</t>
  </si>
  <si>
    <t>Kids Item 19</t>
  </si>
  <si>
    <t>O-10565</t>
  </si>
  <si>
    <t>Men Item 126</t>
  </si>
  <si>
    <t>O-10566</t>
  </si>
  <si>
    <t>Laptops Item 136</t>
  </si>
  <si>
    <t>O-10567</t>
  </si>
  <si>
    <t>Furniture Item 65</t>
  </si>
  <si>
    <t>O-10568</t>
  </si>
  <si>
    <t>Women Item 88</t>
  </si>
  <si>
    <t>O-10569</t>
  </si>
  <si>
    <t>Cameras Item 107</t>
  </si>
  <si>
    <t>O-10570</t>
  </si>
  <si>
    <t>Phones Item 143</t>
  </si>
  <si>
    <t>O-10571</t>
  </si>
  <si>
    <t>O-10572</t>
  </si>
  <si>
    <t>Phones Item 18</t>
  </si>
  <si>
    <t>O-10573</t>
  </si>
  <si>
    <t>O-10574</t>
  </si>
  <si>
    <t>Skincare Item 68</t>
  </si>
  <si>
    <t>O-10575</t>
  </si>
  <si>
    <t>Kids Item 109</t>
  </si>
  <si>
    <t>O-10576</t>
  </si>
  <si>
    <t>O-10577</t>
  </si>
  <si>
    <t>Furniture Item 174</t>
  </si>
  <si>
    <t>O-10578</t>
  </si>
  <si>
    <t>O-10579</t>
  </si>
  <si>
    <t>Women Item 98</t>
  </si>
  <si>
    <t>O-10580</t>
  </si>
  <si>
    <t>Women Item 82</t>
  </si>
  <si>
    <t>O-10581</t>
  </si>
  <si>
    <t>Women Item 85</t>
  </si>
  <si>
    <t>O-10582</t>
  </si>
  <si>
    <t>Decor Item 118</t>
  </si>
  <si>
    <t>O-10583</t>
  </si>
  <si>
    <t>O-10584</t>
  </si>
  <si>
    <t>O-10585</t>
  </si>
  <si>
    <t>Men Item 70</t>
  </si>
  <si>
    <t>O-10586</t>
  </si>
  <si>
    <t>Phones Item 52</t>
  </si>
  <si>
    <t>O-10587</t>
  </si>
  <si>
    <t>Equipment Item 75</t>
  </si>
  <si>
    <t>O-10588</t>
  </si>
  <si>
    <t>Outdoor Item 192</t>
  </si>
  <si>
    <t>O-10589</t>
  </si>
  <si>
    <t>Makeup Item 92</t>
  </si>
  <si>
    <t>O-10590</t>
  </si>
  <si>
    <t>Fitness Item 48</t>
  </si>
  <si>
    <t>O-10591</t>
  </si>
  <si>
    <t>O-10592</t>
  </si>
  <si>
    <t>Skincare Item 187</t>
  </si>
  <si>
    <t>O-10593</t>
  </si>
  <si>
    <t>Phones Item 22</t>
  </si>
  <si>
    <t>O-10594</t>
  </si>
  <si>
    <t>Furniture Item 126</t>
  </si>
  <si>
    <t>O-10595</t>
  </si>
  <si>
    <t>Outdoor Item 184</t>
  </si>
  <si>
    <t>O-10596</t>
  </si>
  <si>
    <t>Haircare Item 26</t>
  </si>
  <si>
    <t>O-10597</t>
  </si>
  <si>
    <t>Phones Item 65</t>
  </si>
  <si>
    <t>O-10598</t>
  </si>
  <si>
    <t>Women Item 141</t>
  </si>
  <si>
    <t>O-10599</t>
  </si>
  <si>
    <t>Decor Item 127</t>
  </si>
  <si>
    <t>O-10600</t>
  </si>
  <si>
    <t>O-10601</t>
  </si>
  <si>
    <t>Furniture Item 75</t>
  </si>
  <si>
    <t>O-10602</t>
  </si>
  <si>
    <t>Women Item 34</t>
  </si>
  <si>
    <t>O-10603</t>
  </si>
  <si>
    <t>Appliances Item 66</t>
  </si>
  <si>
    <t>O-10604</t>
  </si>
  <si>
    <t>O-10605</t>
  </si>
  <si>
    <t>O-10606</t>
  </si>
  <si>
    <t>Skincare Item 120</t>
  </si>
  <si>
    <t>O-10607</t>
  </si>
  <si>
    <t>Haircare Item 39</t>
  </si>
  <si>
    <t>O-10608</t>
  </si>
  <si>
    <t>Furniture Item 147</t>
  </si>
  <si>
    <t>O-10609</t>
  </si>
  <si>
    <t>Haircare Item 81</t>
  </si>
  <si>
    <t>O-10610</t>
  </si>
  <si>
    <t>Makeup Item 148</t>
  </si>
  <si>
    <t>O-10611</t>
  </si>
  <si>
    <t>Skincare Item 152</t>
  </si>
  <si>
    <t>O-10612</t>
  </si>
  <si>
    <t>O-10613</t>
  </si>
  <si>
    <t>Phones Item 82</t>
  </si>
  <si>
    <t>O-10614</t>
  </si>
  <si>
    <t>Haircare Item 185</t>
  </si>
  <si>
    <t>O-10615</t>
  </si>
  <si>
    <t>Makeup Item 87</t>
  </si>
  <si>
    <t>O-10616</t>
  </si>
  <si>
    <t>Fitness Item 172</t>
  </si>
  <si>
    <t>O-10617</t>
  </si>
  <si>
    <t>O-10618</t>
  </si>
  <si>
    <t>Appliances Item 83</t>
  </si>
  <si>
    <t>O-10619</t>
  </si>
  <si>
    <t>Men Item 145</t>
  </si>
  <si>
    <t>O-10620</t>
  </si>
  <si>
    <t>O-10621</t>
  </si>
  <si>
    <t>Haircare Item 13</t>
  </si>
  <si>
    <t>O-10622</t>
  </si>
  <si>
    <t>Makeup Item 175</t>
  </si>
  <si>
    <t>O-10623</t>
  </si>
  <si>
    <t>Fitness Item 140</t>
  </si>
  <si>
    <t>O-10624</t>
  </si>
  <si>
    <t>Accessories Item 103</t>
  </si>
  <si>
    <t>O-10625</t>
  </si>
  <si>
    <t>Makeup Item 146</t>
  </si>
  <si>
    <t>O-10626</t>
  </si>
  <si>
    <t>Accessories Item 13</t>
  </si>
  <si>
    <t>O-10627</t>
  </si>
  <si>
    <t>O-10628</t>
  </si>
  <si>
    <t>Accessories Item 109</t>
  </si>
  <si>
    <t>O-10629</t>
  </si>
  <si>
    <t>Decor Item 36</t>
  </si>
  <si>
    <t>O-10630</t>
  </si>
  <si>
    <t>Accessories Item 28</t>
  </si>
  <si>
    <t>O-10631</t>
  </si>
  <si>
    <t>Phones Item 13</t>
  </si>
  <si>
    <t>O-10632</t>
  </si>
  <si>
    <t>Accessories Item 44</t>
  </si>
  <si>
    <t>O-10633</t>
  </si>
  <si>
    <t>Fitness Item 138</t>
  </si>
  <si>
    <t>O-10634</t>
  </si>
  <si>
    <t>Decor Item 12</t>
  </si>
  <si>
    <t>O-10635</t>
  </si>
  <si>
    <t>Decor Item 122</t>
  </si>
  <si>
    <t>O-10636</t>
  </si>
  <si>
    <t>Outdoor Item 156</t>
  </si>
  <si>
    <t>O-10637</t>
  </si>
  <si>
    <t>Makeup Item 27</t>
  </si>
  <si>
    <t>O-10638</t>
  </si>
  <si>
    <t>Equipment Item 135</t>
  </si>
  <si>
    <t>O-10639</t>
  </si>
  <si>
    <t>Laptops Item 186</t>
  </si>
  <si>
    <t>O-10640</t>
  </si>
  <si>
    <t>Cameras Item 43</t>
  </si>
  <si>
    <t>O-10641</t>
  </si>
  <si>
    <t>O-10642</t>
  </si>
  <si>
    <t>Men Item 45</t>
  </si>
  <si>
    <t>O-10643</t>
  </si>
  <si>
    <t>Women Item 157</t>
  </si>
  <si>
    <t>O-10644</t>
  </si>
  <si>
    <t>Appliances Item 90</t>
  </si>
  <si>
    <t>O-10645</t>
  </si>
  <si>
    <t>Decor Item 178</t>
  </si>
  <si>
    <t>O-10646</t>
  </si>
  <si>
    <t>Skincare Item 90</t>
  </si>
  <si>
    <t>O-10647</t>
  </si>
  <si>
    <t>O-10648</t>
  </si>
  <si>
    <t>Haircare Item 95</t>
  </si>
  <si>
    <t>O-10649</t>
  </si>
  <si>
    <t>Equipment Item 102</t>
  </si>
  <si>
    <t>O-10650</t>
  </si>
  <si>
    <t>Laptops Item 174</t>
  </si>
  <si>
    <t>O-10651</t>
  </si>
  <si>
    <t>Outdoor Item 52</t>
  </si>
  <si>
    <t>O-10652</t>
  </si>
  <si>
    <t>O-10653</t>
  </si>
  <si>
    <t>O-10654</t>
  </si>
  <si>
    <t>Decor Item 141</t>
  </si>
  <si>
    <t>O-10655</t>
  </si>
  <si>
    <t>Equipment Item 8</t>
  </si>
  <si>
    <t>O-10656</t>
  </si>
  <si>
    <t>Appliances Item 77</t>
  </si>
  <si>
    <t>O-10657</t>
  </si>
  <si>
    <t>Outdoor Item 99</t>
  </si>
  <si>
    <t>O-10658</t>
  </si>
  <si>
    <t>O-10659</t>
  </si>
  <si>
    <t>Furniture Item 55</t>
  </si>
  <si>
    <t>O-10660</t>
  </si>
  <si>
    <t>Appliances Item 108</t>
  </si>
  <si>
    <t>O-10661</t>
  </si>
  <si>
    <t>Appliances Item 80</t>
  </si>
  <si>
    <t>O-10662</t>
  </si>
  <si>
    <t>O-10663</t>
  </si>
  <si>
    <t>Furniture Item 39</t>
  </si>
  <si>
    <t>O-10664</t>
  </si>
  <si>
    <t>Makeup Item 86</t>
  </si>
  <si>
    <t>O-10665</t>
  </si>
  <si>
    <t>Haircare Item 156</t>
  </si>
  <si>
    <t>O-10666</t>
  </si>
  <si>
    <t>Haircare Item 55</t>
  </si>
  <si>
    <t>O-10667</t>
  </si>
  <si>
    <t>Fitness Item 195</t>
  </si>
  <si>
    <t>O-10668</t>
  </si>
  <si>
    <t>O-10669</t>
  </si>
  <si>
    <t>Cameras Item 71</t>
  </si>
  <si>
    <t>O-10670</t>
  </si>
  <si>
    <t>Kids Item 163</t>
  </si>
  <si>
    <t>O-10671</t>
  </si>
  <si>
    <t>O-10672</t>
  </si>
  <si>
    <t>Appliances Item 91</t>
  </si>
  <si>
    <t>O-10673</t>
  </si>
  <si>
    <t>Furniture Item 154</t>
  </si>
  <si>
    <t>O-10674</t>
  </si>
  <si>
    <t>O-10675</t>
  </si>
  <si>
    <t>Haircare Item 169</t>
  </si>
  <si>
    <t>O-10676</t>
  </si>
  <si>
    <t>Equipment Item 99</t>
  </si>
  <si>
    <t>O-10677</t>
  </si>
  <si>
    <t>Furniture Item 199</t>
  </si>
  <si>
    <t>O-10678</t>
  </si>
  <si>
    <t>Makeup Item 149</t>
  </si>
  <si>
    <t>O-10679</t>
  </si>
  <si>
    <t>O-10680</t>
  </si>
  <si>
    <t>Phones Item 112</t>
  </si>
  <si>
    <t>O-10681</t>
  </si>
  <si>
    <t>Makeup Item 165</t>
  </si>
  <si>
    <t>O-10682</t>
  </si>
  <si>
    <t>O-10683</t>
  </si>
  <si>
    <t>O-10684</t>
  </si>
  <si>
    <t>O-10685</t>
  </si>
  <si>
    <t>O-10686</t>
  </si>
  <si>
    <t>Men Item 101</t>
  </si>
  <si>
    <t>O-10687</t>
  </si>
  <si>
    <t>Haircare Item 61</t>
  </si>
  <si>
    <t>O-10688</t>
  </si>
  <si>
    <t>O-10689</t>
  </si>
  <si>
    <t>O-10690</t>
  </si>
  <si>
    <t>O-10691</t>
  </si>
  <si>
    <t>O-10692</t>
  </si>
  <si>
    <t>Laptops Item 59</t>
  </si>
  <si>
    <t>O-10693</t>
  </si>
  <si>
    <t>Cameras Item 139</t>
  </si>
  <si>
    <t>O-10694</t>
  </si>
  <si>
    <t>O-10695</t>
  </si>
  <si>
    <t>Equipment Item 51</t>
  </si>
  <si>
    <t>O-10696</t>
  </si>
  <si>
    <t>Accessories Item 104</t>
  </si>
  <si>
    <t>O-10697</t>
  </si>
  <si>
    <t>Haircare Item 151</t>
  </si>
  <si>
    <t>O-10698</t>
  </si>
  <si>
    <t>Laptops Item 73</t>
  </si>
  <si>
    <t>O-10699</t>
  </si>
  <si>
    <t>O-10700</t>
  </si>
  <si>
    <t>Women Item 109</t>
  </si>
  <si>
    <t>O-10701</t>
  </si>
  <si>
    <t>Phones Item 15</t>
  </si>
  <si>
    <t>O-10702</t>
  </si>
  <si>
    <t>Accessories Item 116</t>
  </si>
  <si>
    <t>O-10703</t>
  </si>
  <si>
    <t>Laptops Item 132</t>
  </si>
  <si>
    <t>O-10704</t>
  </si>
  <si>
    <t>Men Item 83</t>
  </si>
  <si>
    <t>O-10705</t>
  </si>
  <si>
    <t>O-10706</t>
  </si>
  <si>
    <t>Laptops Item 123</t>
  </si>
  <si>
    <t>O-10707</t>
  </si>
  <si>
    <t>Makeup Item 172</t>
  </si>
  <si>
    <t>O-10708</t>
  </si>
  <si>
    <t>O-10709</t>
  </si>
  <si>
    <t>O-10710</t>
  </si>
  <si>
    <t>Fitness Item 72</t>
  </si>
  <si>
    <t>O-10711</t>
  </si>
  <si>
    <t>O-10712</t>
  </si>
  <si>
    <t>Accessories Item 57</t>
  </si>
  <si>
    <t>O-10713</t>
  </si>
  <si>
    <t>Haircare Item 33</t>
  </si>
  <si>
    <t>O-10714</t>
  </si>
  <si>
    <t>O-10715</t>
  </si>
  <si>
    <t>O-10716</t>
  </si>
  <si>
    <t>Accessories Item 128</t>
  </si>
  <si>
    <t>O-10717</t>
  </si>
  <si>
    <t>Furniture Item 63</t>
  </si>
  <si>
    <t>O-10718</t>
  </si>
  <si>
    <t>O-10719</t>
  </si>
  <si>
    <t>O-10720</t>
  </si>
  <si>
    <t>Women Item 169</t>
  </si>
  <si>
    <t>O-10721</t>
  </si>
  <si>
    <t>Outdoor Item 10</t>
  </si>
  <si>
    <t>O-10722</t>
  </si>
  <si>
    <t>O-10723</t>
  </si>
  <si>
    <t>Cameras Item 39</t>
  </si>
  <si>
    <t>O-10724</t>
  </si>
  <si>
    <t>Haircare Item 182</t>
  </si>
  <si>
    <t>O-10725</t>
  </si>
  <si>
    <t>O-10726</t>
  </si>
  <si>
    <t>Kids Item 27</t>
  </si>
  <si>
    <t>O-10727</t>
  </si>
  <si>
    <t>Accessories Item 187</t>
  </si>
  <si>
    <t>O-10728</t>
  </si>
  <si>
    <t>Decor Item 83</t>
  </si>
  <si>
    <t>O-10729</t>
  </si>
  <si>
    <t>O-10730</t>
  </si>
  <si>
    <t>Cameras Item 158</t>
  </si>
  <si>
    <t>O-10731</t>
  </si>
  <si>
    <t>Laptops Item 7</t>
  </si>
  <si>
    <t>O-10732</t>
  </si>
  <si>
    <t>Outdoor Item 164</t>
  </si>
  <si>
    <t>O-10733</t>
  </si>
  <si>
    <t>Appliances Item 74</t>
  </si>
  <si>
    <t>O-10734</t>
  </si>
  <si>
    <t>O-10735</t>
  </si>
  <si>
    <t>Men Item 155</t>
  </si>
  <si>
    <t>O-10736</t>
  </si>
  <si>
    <t>O-10737</t>
  </si>
  <si>
    <t>Kids Item 39</t>
  </si>
  <si>
    <t>O-10738</t>
  </si>
  <si>
    <t>O-10739</t>
  </si>
  <si>
    <t>Women Item 43</t>
  </si>
  <si>
    <t>O-10740</t>
  </si>
  <si>
    <t>Makeup Item 161</t>
  </si>
  <si>
    <t>O-10741</t>
  </si>
  <si>
    <t>Decor Item 138</t>
  </si>
  <si>
    <t>O-10742</t>
  </si>
  <si>
    <t>Outdoor Item 77</t>
  </si>
  <si>
    <t>O-10743</t>
  </si>
  <si>
    <t>O-10744</t>
  </si>
  <si>
    <t>Women Item 107</t>
  </si>
  <si>
    <t>O-10745</t>
  </si>
  <si>
    <t>Women Item 37</t>
  </si>
  <si>
    <t>O-10746</t>
  </si>
  <si>
    <t>Men Item 58</t>
  </si>
  <si>
    <t>O-10747</t>
  </si>
  <si>
    <t>Decor Item 114</t>
  </si>
  <si>
    <t>O-10748</t>
  </si>
  <si>
    <t>Fitness Item 98</t>
  </si>
  <si>
    <t>O-10749</t>
  </si>
  <si>
    <t>Kids Item 135</t>
  </si>
  <si>
    <t>O-10750</t>
  </si>
  <si>
    <t>Fitness Item 129</t>
  </si>
  <si>
    <t>O-10751</t>
  </si>
  <si>
    <t>Women Item 102</t>
  </si>
  <si>
    <t>O-10752</t>
  </si>
  <si>
    <t>Men Item 199</t>
  </si>
  <si>
    <t>O-10753</t>
  </si>
  <si>
    <t>Makeup Item 129</t>
  </si>
  <si>
    <t>O-10754</t>
  </si>
  <si>
    <t>Fitness Item 21</t>
  </si>
  <si>
    <t>O-10755</t>
  </si>
  <si>
    <t>O-10756</t>
  </si>
  <si>
    <t>Women Item 106</t>
  </si>
  <si>
    <t>O-10757</t>
  </si>
  <si>
    <t>Haircare Item 6</t>
  </si>
  <si>
    <t>O-10758</t>
  </si>
  <si>
    <t>Outdoor Item 118</t>
  </si>
  <si>
    <t>O-10759</t>
  </si>
  <si>
    <t>Cameras Item 195</t>
  </si>
  <si>
    <t>O-10760</t>
  </si>
  <si>
    <t>Kids Item 165</t>
  </si>
  <si>
    <t>O-10761</t>
  </si>
  <si>
    <t>Appliances Item 145</t>
  </si>
  <si>
    <t>O-10762</t>
  </si>
  <si>
    <t>Furniture Item 108</t>
  </si>
  <si>
    <t>O-10763</t>
  </si>
  <si>
    <t>Women Item 126</t>
  </si>
  <si>
    <t>O-10764</t>
  </si>
  <si>
    <t>O-10765</t>
  </si>
  <si>
    <t>Phones Item 167</t>
  </si>
  <si>
    <t>O-10766</t>
  </si>
  <si>
    <t>Equipment Item 143</t>
  </si>
  <si>
    <t>O-10767</t>
  </si>
  <si>
    <t>O-10768</t>
  </si>
  <si>
    <t>O-10769</t>
  </si>
  <si>
    <t>Phones Item 141</t>
  </si>
  <si>
    <t>O-10770</t>
  </si>
  <si>
    <t>Haircare Item 48</t>
  </si>
  <si>
    <t>O-10771</t>
  </si>
  <si>
    <t>O-10772</t>
  </si>
  <si>
    <t>Decor Item 7</t>
  </si>
  <si>
    <t>O-10773</t>
  </si>
  <si>
    <t>Makeup Item 17</t>
  </si>
  <si>
    <t>O-10774</t>
  </si>
  <si>
    <t>Outdoor Item 160</t>
  </si>
  <si>
    <t>O-10775</t>
  </si>
  <si>
    <t>Laptops Item 120</t>
  </si>
  <si>
    <t>O-10776</t>
  </si>
  <si>
    <t>Outdoor Item 108</t>
  </si>
  <si>
    <t>O-10777</t>
  </si>
  <si>
    <t>O-10778</t>
  </si>
  <si>
    <t>Phones Item 181</t>
  </si>
  <si>
    <t>O-10779</t>
  </si>
  <si>
    <t>Outdoor Item 128</t>
  </si>
  <si>
    <t>O-10780</t>
  </si>
  <si>
    <t>Phones Item 185</t>
  </si>
  <si>
    <t>O-10781</t>
  </si>
  <si>
    <t>O-10782</t>
  </si>
  <si>
    <t>Decor Item 123</t>
  </si>
  <si>
    <t>O-10783</t>
  </si>
  <si>
    <t>Kids Item 64</t>
  </si>
  <si>
    <t>O-10784</t>
  </si>
  <si>
    <t>Furniture Item 60</t>
  </si>
  <si>
    <t>O-10785</t>
  </si>
  <si>
    <t>Furniture Item 137</t>
  </si>
  <si>
    <t>O-10786</t>
  </si>
  <si>
    <t>O-10787</t>
  </si>
  <si>
    <t>Kids Item 101</t>
  </si>
  <si>
    <t>O-10788</t>
  </si>
  <si>
    <t>Fitness Item 99</t>
  </si>
  <si>
    <t>O-10789</t>
  </si>
  <si>
    <t>Makeup Item 134</t>
  </si>
  <si>
    <t>O-10790</t>
  </si>
  <si>
    <t>O-10791</t>
  </si>
  <si>
    <t>Women Item 170</t>
  </si>
  <si>
    <t>O-10792</t>
  </si>
  <si>
    <t>Fitness Item 59</t>
  </si>
  <si>
    <t>O-10793</t>
  </si>
  <si>
    <t>Men Item 138</t>
  </si>
  <si>
    <t>O-10794</t>
  </si>
  <si>
    <t>Decor Item 140</t>
  </si>
  <si>
    <t>O-10795</t>
  </si>
  <si>
    <t>Makeup Item 128</t>
  </si>
  <si>
    <t>O-10796</t>
  </si>
  <si>
    <t>Appliances Item 195</t>
  </si>
  <si>
    <t>O-10797</t>
  </si>
  <si>
    <t>Equipment Item 149</t>
  </si>
  <si>
    <t>O-10798</t>
  </si>
  <si>
    <t>Outdoor Item 181</t>
  </si>
  <si>
    <t>O-10799</t>
  </si>
  <si>
    <t>Makeup Item 101</t>
  </si>
  <si>
    <t>O-10800</t>
  </si>
  <si>
    <t>Equipment Item 63</t>
  </si>
  <si>
    <t>O-10801</t>
  </si>
  <si>
    <t>Makeup Item 5</t>
  </si>
  <si>
    <t>O-10802</t>
  </si>
  <si>
    <t>Furniture Item 56</t>
  </si>
  <si>
    <t>O-10803</t>
  </si>
  <si>
    <t>Decor Item 104</t>
  </si>
  <si>
    <t>O-10804</t>
  </si>
  <si>
    <t>O-10805</t>
  </si>
  <si>
    <t>Haircare Item 140</t>
  </si>
  <si>
    <t>O-10806</t>
  </si>
  <si>
    <t>Women Item 95</t>
  </si>
  <si>
    <t>O-10807</t>
  </si>
  <si>
    <t>Decor Item 187</t>
  </si>
  <si>
    <t>O-10808</t>
  </si>
  <si>
    <t>Makeup Item 48</t>
  </si>
  <si>
    <t>O-10809</t>
  </si>
  <si>
    <t>Phones Item 152</t>
  </si>
  <si>
    <t>O-10810</t>
  </si>
  <si>
    <t>Decor Item 186</t>
  </si>
  <si>
    <t>O-10811</t>
  </si>
  <si>
    <t>O-10812</t>
  </si>
  <si>
    <t>Kids Item 61</t>
  </si>
  <si>
    <t>O-10813</t>
  </si>
  <si>
    <t>Equipment Item 110</t>
  </si>
  <si>
    <t>O-10814</t>
  </si>
  <si>
    <t>O-10815</t>
  </si>
  <si>
    <t>O-10816</t>
  </si>
  <si>
    <t>O-10817</t>
  </si>
  <si>
    <t>O-10818</t>
  </si>
  <si>
    <t>Phones Item 150</t>
  </si>
  <si>
    <t>O-10819</t>
  </si>
  <si>
    <t>Outdoor Item 104</t>
  </si>
  <si>
    <t>O-10820</t>
  </si>
  <si>
    <t>Fitness Item 93</t>
  </si>
  <si>
    <t>O-10821</t>
  </si>
  <si>
    <t>O-10822</t>
  </si>
  <si>
    <t>O-10823</t>
  </si>
  <si>
    <t>Skincare Item 66</t>
  </si>
  <si>
    <t>O-10824</t>
  </si>
  <si>
    <t>Phones Item 26</t>
  </si>
  <si>
    <t>O-10825</t>
  </si>
  <si>
    <t>Appliances Item 8</t>
  </si>
  <si>
    <t>O-10826</t>
  </si>
  <si>
    <t>Women Item 183</t>
  </si>
  <si>
    <t>O-10827</t>
  </si>
  <si>
    <t>Women Item 184</t>
  </si>
  <si>
    <t>O-10828</t>
  </si>
  <si>
    <t>Decor Item 73</t>
  </si>
  <si>
    <t>O-10829</t>
  </si>
  <si>
    <t>O-10830</t>
  </si>
  <si>
    <t>Outdoor Item 124</t>
  </si>
  <si>
    <t>O-10831</t>
  </si>
  <si>
    <t>Accessories Item 42</t>
  </si>
  <si>
    <t>O-10832</t>
  </si>
  <si>
    <t>Women Item 178</t>
  </si>
  <si>
    <t>O-10833</t>
  </si>
  <si>
    <t>Fitness Item 102</t>
  </si>
  <si>
    <t>O-10834</t>
  </si>
  <si>
    <t>O-10835</t>
  </si>
  <si>
    <t>Outdoor Item 56</t>
  </si>
  <si>
    <t>O-10836</t>
  </si>
  <si>
    <t>O-10837</t>
  </si>
  <si>
    <t>Accessories Item 36</t>
  </si>
  <si>
    <t>O-10838</t>
  </si>
  <si>
    <t>O-10839</t>
  </si>
  <si>
    <t>Furniture Item 22</t>
  </si>
  <si>
    <t>O-10840</t>
  </si>
  <si>
    <t>Haircare Item 96</t>
  </si>
  <si>
    <t>O-10841</t>
  </si>
  <si>
    <t>Makeup Item 152</t>
  </si>
  <si>
    <t>O-10842</t>
  </si>
  <si>
    <t>Fitness Item 57</t>
  </si>
  <si>
    <t>O-10843</t>
  </si>
  <si>
    <t>Haircare Item 176</t>
  </si>
  <si>
    <t>O-10844</t>
  </si>
  <si>
    <t>O-10845</t>
  </si>
  <si>
    <t>O-10846</t>
  </si>
  <si>
    <t>O-10847</t>
  </si>
  <si>
    <t>Equipment Item 48</t>
  </si>
  <si>
    <t>O-10848</t>
  </si>
  <si>
    <t>O-10849</t>
  </si>
  <si>
    <t>Men Item 134</t>
  </si>
  <si>
    <t>O-10850</t>
  </si>
  <si>
    <t>Men Item 95</t>
  </si>
  <si>
    <t>O-10851</t>
  </si>
  <si>
    <t>Makeup Item 187</t>
  </si>
  <si>
    <t>O-10852</t>
  </si>
  <si>
    <t>Accessories Item 195</t>
  </si>
  <si>
    <t>O-10853</t>
  </si>
  <si>
    <t>Equipment Item 96</t>
  </si>
  <si>
    <t>O-10854</t>
  </si>
  <si>
    <t>Outdoor Item 6</t>
  </si>
  <si>
    <t>O-10855</t>
  </si>
  <si>
    <t>Appliances Item 76</t>
  </si>
  <si>
    <t>O-10856</t>
  </si>
  <si>
    <t>Outdoor Item 127</t>
  </si>
  <si>
    <t>O-10857</t>
  </si>
  <si>
    <t>Kids Item 127</t>
  </si>
  <si>
    <t>O-10858</t>
  </si>
  <si>
    <t>Outdoor Item 81</t>
  </si>
  <si>
    <t>O-10859</t>
  </si>
  <si>
    <t>Men Item 152</t>
  </si>
  <si>
    <t>O-10860</t>
  </si>
  <si>
    <t>Phones Item 174</t>
  </si>
  <si>
    <t>O-10861</t>
  </si>
  <si>
    <t>Men Item 189</t>
  </si>
  <si>
    <t>O-10862</t>
  </si>
  <si>
    <t>Makeup Item 145</t>
  </si>
  <si>
    <t>O-10863</t>
  </si>
  <si>
    <t>O-10864</t>
  </si>
  <si>
    <t>Decor Item 55</t>
  </si>
  <si>
    <t>O-10865</t>
  </si>
  <si>
    <t>Haircare Item 180</t>
  </si>
  <si>
    <t>O-10866</t>
  </si>
  <si>
    <t>Decor Item 158</t>
  </si>
  <si>
    <t>O-10867</t>
  </si>
  <si>
    <t>Accessories Item 1</t>
  </si>
  <si>
    <t>O-10868</t>
  </si>
  <si>
    <t>O-10869</t>
  </si>
  <si>
    <t>Appliances Item 190</t>
  </si>
  <si>
    <t>O-10870</t>
  </si>
  <si>
    <t>Men Item 160</t>
  </si>
  <si>
    <t>O-10871</t>
  </si>
  <si>
    <t>O-10872</t>
  </si>
  <si>
    <t>Kids Item 192</t>
  </si>
  <si>
    <t>O-10873</t>
  </si>
  <si>
    <t>Decor Item 115</t>
  </si>
  <si>
    <t>O-10874</t>
  </si>
  <si>
    <t>O-10875</t>
  </si>
  <si>
    <t>Laptops Item 6</t>
  </si>
  <si>
    <t>O-10876</t>
  </si>
  <si>
    <t>Decor Item 119</t>
  </si>
  <si>
    <t>O-10877</t>
  </si>
  <si>
    <t>O-10878</t>
  </si>
  <si>
    <t>Outdoor Item 188</t>
  </si>
  <si>
    <t>O-10879</t>
  </si>
  <si>
    <t>Phones Item 28</t>
  </si>
  <si>
    <t>O-10880</t>
  </si>
  <si>
    <t>Decor Item 191</t>
  </si>
  <si>
    <t>O-10881</t>
  </si>
  <si>
    <t>O-10882</t>
  </si>
  <si>
    <t>O-10883</t>
  </si>
  <si>
    <t>O-10884</t>
  </si>
  <si>
    <t>Skincare Item 10</t>
  </si>
  <si>
    <t>O-10885</t>
  </si>
  <si>
    <t>O-10886</t>
  </si>
  <si>
    <t>Equipment Item 175</t>
  </si>
  <si>
    <t>O-10887</t>
  </si>
  <si>
    <t>O-10888</t>
  </si>
  <si>
    <t>O-10889</t>
  </si>
  <si>
    <t>O-10890</t>
  </si>
  <si>
    <t>Accessories Item 110</t>
  </si>
  <si>
    <t>O-10891</t>
  </si>
  <si>
    <t>Outdoor Item 113</t>
  </si>
  <si>
    <t>O-10892</t>
  </si>
  <si>
    <t>O-10893</t>
  </si>
  <si>
    <t>O-10894</t>
  </si>
  <si>
    <t>Fitness Item 61</t>
  </si>
  <si>
    <t>O-10895</t>
  </si>
  <si>
    <t>Cameras Item 187</t>
  </si>
  <si>
    <t>O-10896</t>
  </si>
  <si>
    <t>Skincare Item 193</t>
  </si>
  <si>
    <t>O-10897</t>
  </si>
  <si>
    <t>Outdoor Item 76</t>
  </si>
  <si>
    <t>O-10898</t>
  </si>
  <si>
    <t>Men Item 125</t>
  </si>
  <si>
    <t>O-10899</t>
  </si>
  <si>
    <t>Laptops Item 184</t>
  </si>
  <si>
    <t>O-10900</t>
  </si>
  <si>
    <t>O-10901</t>
  </si>
  <si>
    <t>Accessories Item 65</t>
  </si>
  <si>
    <t>O-10902</t>
  </si>
  <si>
    <t>O-10903</t>
  </si>
  <si>
    <t>Furniture Item 90</t>
  </si>
  <si>
    <t>O-10904</t>
  </si>
  <si>
    <t>Phones Item 173</t>
  </si>
  <si>
    <t>O-10905</t>
  </si>
  <si>
    <t>Accessories Item 27</t>
  </si>
  <si>
    <t>O-10906</t>
  </si>
  <si>
    <t>Appliances Item 6</t>
  </si>
  <si>
    <t>O-10907</t>
  </si>
  <si>
    <t>Decor Item 47</t>
  </si>
  <si>
    <t>O-10908</t>
  </si>
  <si>
    <t>O-10909</t>
  </si>
  <si>
    <t>O-10910</t>
  </si>
  <si>
    <t>Skincare Item 163</t>
  </si>
  <si>
    <t>O-10911</t>
  </si>
  <si>
    <t>Decor Item 160</t>
  </si>
  <si>
    <t>O-10912</t>
  </si>
  <si>
    <t>O-10913</t>
  </si>
  <si>
    <t>Haircare Item 141</t>
  </si>
  <si>
    <t>O-10914</t>
  </si>
  <si>
    <t>O-10915</t>
  </si>
  <si>
    <t>Accessories Item 24</t>
  </si>
  <si>
    <t>O-10916</t>
  </si>
  <si>
    <t>Skincare Item 108</t>
  </si>
  <si>
    <t>O-10917</t>
  </si>
  <si>
    <t>Skincare Item 146</t>
  </si>
  <si>
    <t>O-10918</t>
  </si>
  <si>
    <t>Skincare Item 98</t>
  </si>
  <si>
    <t>O-10919</t>
  </si>
  <si>
    <t>O-10920</t>
  </si>
  <si>
    <t>Kids Item 146</t>
  </si>
  <si>
    <t>O-10921</t>
  </si>
  <si>
    <t>O-10922</t>
  </si>
  <si>
    <t>O-10923</t>
  </si>
  <si>
    <t>Women Item 198</t>
  </si>
  <si>
    <t>O-10924</t>
  </si>
  <si>
    <t>Laptops Item 137</t>
  </si>
  <si>
    <t>O-10925</t>
  </si>
  <si>
    <t>O-10926</t>
  </si>
  <si>
    <t>O-10927</t>
  </si>
  <si>
    <t>Men Item 25</t>
  </si>
  <si>
    <t>O-10928</t>
  </si>
  <si>
    <t>O-10929</t>
  </si>
  <si>
    <t>O-10930</t>
  </si>
  <si>
    <t>Cameras Item 48</t>
  </si>
  <si>
    <t>O-10931</t>
  </si>
  <si>
    <t>Kids Item 149</t>
  </si>
  <si>
    <t>O-10932</t>
  </si>
  <si>
    <t>O-10933</t>
  </si>
  <si>
    <t>Fitness Item 75</t>
  </si>
  <si>
    <t>O-10934</t>
  </si>
  <si>
    <t>Haircare Item 90</t>
  </si>
  <si>
    <t>O-10935</t>
  </si>
  <si>
    <t>Accessories Item 48</t>
  </si>
  <si>
    <t>O-10936</t>
  </si>
  <si>
    <t>O-10937</t>
  </si>
  <si>
    <t>Fitness Item 124</t>
  </si>
  <si>
    <t>O-10938</t>
  </si>
  <si>
    <t>Equipment Item 120</t>
  </si>
  <si>
    <t>O-10939</t>
  </si>
  <si>
    <t>Laptops Item 36</t>
  </si>
  <si>
    <t>O-10940</t>
  </si>
  <si>
    <t>Equipment Item 14</t>
  </si>
  <si>
    <t>O-10941</t>
  </si>
  <si>
    <t>O-10942</t>
  </si>
  <si>
    <t>Skincare Item 19</t>
  </si>
  <si>
    <t>O-10943</t>
  </si>
  <si>
    <t>O-10944</t>
  </si>
  <si>
    <t>Haircare Item 130</t>
  </si>
  <si>
    <t>O-10945</t>
  </si>
  <si>
    <t>Skincare Item 45</t>
  </si>
  <si>
    <t>O-10946</t>
  </si>
  <si>
    <t>Phones Item 100</t>
  </si>
  <si>
    <t>O-10947</t>
  </si>
  <si>
    <t>O-10948</t>
  </si>
  <si>
    <t>Outdoor Item 132</t>
  </si>
  <si>
    <t>O-10949</t>
  </si>
  <si>
    <t>O-10950</t>
  </si>
  <si>
    <t>Haircare Item 42</t>
  </si>
  <si>
    <t>O-10951</t>
  </si>
  <si>
    <t>Furniture Item 159</t>
  </si>
  <si>
    <t>O-10952</t>
  </si>
  <si>
    <t>Phones Item 83</t>
  </si>
  <si>
    <t>O-10953</t>
  </si>
  <si>
    <t>Decor Item 130</t>
  </si>
  <si>
    <t>O-10954</t>
  </si>
  <si>
    <t>Decor Item 16</t>
  </si>
  <si>
    <t>O-10955</t>
  </si>
  <si>
    <t>O-10956</t>
  </si>
  <si>
    <t>Women Item 111</t>
  </si>
  <si>
    <t>O-10957</t>
  </si>
  <si>
    <t>O-10958</t>
  </si>
  <si>
    <t>Kids Item 106</t>
  </si>
  <si>
    <t>O-10959</t>
  </si>
  <si>
    <t>Decor Item 50</t>
  </si>
  <si>
    <t>O-10960</t>
  </si>
  <si>
    <t>Men Item 27</t>
  </si>
  <si>
    <t>O-10961</t>
  </si>
  <si>
    <t>Men Item 182</t>
  </si>
  <si>
    <t>O-10962</t>
  </si>
  <si>
    <t>Makeup Item 125</t>
  </si>
  <si>
    <t>O-10963</t>
  </si>
  <si>
    <t>Haircare Item 118</t>
  </si>
  <si>
    <t>O-10964</t>
  </si>
  <si>
    <t>O-10965</t>
  </si>
  <si>
    <t>Outdoor Item 80</t>
  </si>
  <si>
    <t>O-10966</t>
  </si>
  <si>
    <t>O-10967</t>
  </si>
  <si>
    <t>Furniture Item 176</t>
  </si>
  <si>
    <t>O-10968</t>
  </si>
  <si>
    <t>Women Item 164</t>
  </si>
  <si>
    <t>O-10969</t>
  </si>
  <si>
    <t>Haircare Item 194</t>
  </si>
  <si>
    <t>O-10970</t>
  </si>
  <si>
    <t>Equipment Item 103</t>
  </si>
  <si>
    <t>O-10971</t>
  </si>
  <si>
    <t>O-10972</t>
  </si>
  <si>
    <t>Furniture Item 173</t>
  </si>
  <si>
    <t>O-10973</t>
  </si>
  <si>
    <t>O-10974</t>
  </si>
  <si>
    <t>Kids Item 151</t>
  </si>
  <si>
    <t>O-10975</t>
  </si>
  <si>
    <t>O-10976</t>
  </si>
  <si>
    <t>Appliances Item 61</t>
  </si>
  <si>
    <t>O-10977</t>
  </si>
  <si>
    <t>Fitness Item 44</t>
  </si>
  <si>
    <t>O-10978</t>
  </si>
  <si>
    <t>Makeup Item 79</t>
  </si>
  <si>
    <t>O-10979</t>
  </si>
  <si>
    <t>O-10980</t>
  </si>
  <si>
    <t>Furniture Item 35</t>
  </si>
  <si>
    <t>O-10981</t>
  </si>
  <si>
    <t>Fitness Item 22</t>
  </si>
  <si>
    <t>O-10982</t>
  </si>
  <si>
    <t>Furniture Item 72</t>
  </si>
  <si>
    <t>O-10983</t>
  </si>
  <si>
    <t>Women Item 75</t>
  </si>
  <si>
    <t>O-10984</t>
  </si>
  <si>
    <t>Furniture Item 16</t>
  </si>
  <si>
    <t>O-10985</t>
  </si>
  <si>
    <t>O-10986</t>
  </si>
  <si>
    <t>O-10987</t>
  </si>
  <si>
    <t>O-10988</t>
  </si>
  <si>
    <t>Accessories Item 167</t>
  </si>
  <si>
    <t>O-10989</t>
  </si>
  <si>
    <t>Fitness Item 171</t>
  </si>
  <si>
    <t>O-10990</t>
  </si>
  <si>
    <t>O-10991</t>
  </si>
  <si>
    <t>O-10992</t>
  </si>
  <si>
    <t>Cameras Item 77</t>
  </si>
  <si>
    <t>O-10993</t>
  </si>
  <si>
    <t>Skincare Item 179</t>
  </si>
  <si>
    <t>O-10994</t>
  </si>
  <si>
    <t>Outdoor Item 42</t>
  </si>
  <si>
    <t>O-10995</t>
  </si>
  <si>
    <t>O-10996</t>
  </si>
  <si>
    <t>Laptops Item 65</t>
  </si>
  <si>
    <t>O-10997</t>
  </si>
  <si>
    <t>Kids Item 7</t>
  </si>
  <si>
    <t>O-10998</t>
  </si>
  <si>
    <t>O-10999</t>
  </si>
  <si>
    <t>Skincare Item 53</t>
  </si>
  <si>
    <t>Sum of Sales</t>
  </si>
  <si>
    <t>Sum of Profit</t>
  </si>
  <si>
    <t>Average of Profit Margin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</si>
  <si>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</si>
  <si>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</si>
  <si>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</si>
  <si>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</si>
  <si>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</si>
  <si>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</si>
  <si>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</si>
  <si>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</si>
  <si>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</si>
  <si>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</si>
  <si>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 Total</t>
  </si>
  <si>
    <t>Jan</t>
  </si>
  <si>
    <t>Feb</t>
  </si>
  <si>
    <t>Mar</t>
  </si>
  <si>
    <t>2023 Total</t>
  </si>
  <si>
    <t>2024 Total</t>
  </si>
  <si>
    <t>2025 Total</t>
  </si>
  <si>
    <t xml:space="preserve">                                      E-Commerce Sales Performance Dashboard</t>
  </si>
  <si>
    <r>
      <rPr>
        <sz val="11"/>
        <color rgb="FFFFFFFF"/>
        <rFont val="Calibri"/>
      </rPr>
      <t xml:space="preserve">                                                                                                                                                            </t>
    </r>
    <r>
      <rPr>
        <b/>
        <sz val="11"/>
        <color rgb="FFFFFFFF"/>
        <rFont val="Calibri"/>
      </rPr>
      <t>April 2022 - Jan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</si>
</sst>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d\-mmm\-yyyy;@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</font>
    <font>
      <sz val="24"/>
      <color theme="0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166" fontId="0" fillId="0" borderId="0" xfId="0" applyNumberFormat="1"/>
    <xf numFmtId="10" fontId="0" fillId="0" borderId="0" xfId="0" applyNumberFormat="1"/>
    <xf numFmtId="0" fontId="3" fillId="2" borderId="0" xfId="0" applyFont="1" applyFill="1" applyAlignment="1"/>
    <xf numFmtId="0" fontId="4" fillId="2" borderId="0" xfId="0" applyFont="1" applyFill="1" applyAlignment="1"/>
    <xf numFmtId="0" fontId="2" fillId="2" borderId="0" xfId="0" applyFont="1" applyFill="1" applyAlignmen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165" formatCode="[$-409]d\-mmm\-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[Ecommerce_Sales_Dataset.xlsx]Pivot_Analysis!PivotTable1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3417904801811077"/>
          <c:y val="4.2341669114686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538D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796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538DD5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"$"#,##0.00</c:formatCode>
                <c:ptCount val="4"/>
                <c:pt idx="0">
                  <c:v>205235.75999999992</c:v>
                </c:pt>
                <c:pt idx="1">
                  <c:v>240863.52000000002</c:v>
                </c:pt>
                <c:pt idx="2">
                  <c:v>174423.09000000003</c:v>
                </c:pt>
                <c:pt idx="3">
                  <c:v>210445.92999999996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4-4DE0-A9B7-39C8934EDB81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Pivot_Analysis!$C$4:$C$8</c:f>
              <c:numCache>
                <c:formatCode>"$"#,##0.00</c:formatCode>
                <c:ptCount val="4"/>
                <c:pt idx="0">
                  <c:v>33743.37999999999</c:v>
                </c:pt>
                <c:pt idx="1">
                  <c:v>40793.80999999999</c:v>
                </c:pt>
                <c:pt idx="2">
                  <c:v>30289.529999999995</c:v>
                </c:pt>
                <c:pt idx="3">
                  <c:v>36442.26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4-4DE0-A9B7-39C8934EDB81}"/>
            </c:ext>
          </c:extLst>
        </c:ser>
        <c:ser>
          <c:idx val="2"/>
          <c:order val="2"/>
          <c:tx>
            <c:strRef>
              <c:f>Pivot_Analysis!$D$3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Pivot_Analysis!$D$4:$D$8</c:f>
              <c:numCache>
                <c:formatCode>0.00%</c:formatCode>
                <c:ptCount val="4"/>
                <c:pt idx="0">
                  <c:v>0.16538549056190524</c:v>
                </c:pt>
                <c:pt idx="1">
                  <c:v>0.16935269829612309</c:v>
                </c:pt>
                <c:pt idx="2">
                  <c:v>0.1725278317068874</c:v>
                </c:pt>
                <c:pt idx="3">
                  <c:v>0.17465358692694613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4-4DE0-A9B7-39C8934E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123016"/>
        <c:axId val="1902134792"/>
      </c:barChart>
      <c:catAx>
        <c:axId val="1902123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North region drives highest sales</a:t>
                </a:r>
              </a:p>
            </c:rich>
          </c:tx>
          <c:layout>
            <c:manualLayout>
              <c:xMode val="edge"/>
              <c:yMode val="edge"/>
              <c:x val="0.25357588822568117"/>
              <c:y val="0.82456308618147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34792"/>
        <c:crosses val="autoZero"/>
        <c:auto val="1"/>
        <c:lblAlgn val="ctr"/>
        <c:lblOffset val="100"/>
        <c:noMultiLvlLbl val="0"/>
      </c:catAx>
      <c:valAx>
        <c:axId val="1902134792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23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[Ecommerce_Sales_Dataset.xlsx]Pivot_Analysis!PivotTable3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Pivot_Analysis!$C$36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multiLvlStrRef>
              <c:f>Pivot_Analysis!$A$37:$B$75</c:f>
              <c:multiLvlStrCache>
                <c:ptCount val="34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</c:lvl>
                <c:lvl>
                  <c:pt idx="0">
                    <c:v>2022</c:v>
                  </c:pt>
                  <c:pt idx="9">
                    <c:v>2023</c:v>
                  </c:pt>
                  <c:pt idx="21">
                    <c:v>2024</c:v>
                  </c:pt>
                  <c:pt idx="33">
                    <c:v>2025</c:v>
                  </c:pt>
                </c:lvl>
              </c:multiLvlStrCache>
            </c:multiLvlStrRef>
          </c:cat>
          <c:val>
            <c:numRef>
              <c:f>Pivot_Analysis!$C$37:$C$75</c:f>
              <c:numCache>
                <c:formatCode>"$"#,##0.00</c:formatCode>
                <c:ptCount val="34"/>
                <c:pt idx="0">
                  <c:v>12444.35</c:v>
                </c:pt>
                <c:pt idx="1">
                  <c:v>29138.679999999997</c:v>
                </c:pt>
                <c:pt idx="2">
                  <c:v>23139.299999999996</c:v>
                </c:pt>
                <c:pt idx="3">
                  <c:v>33227.31</c:v>
                </c:pt>
                <c:pt idx="4">
                  <c:v>24819.14</c:v>
                </c:pt>
                <c:pt idx="5">
                  <c:v>24728.979999999996</c:v>
                </c:pt>
                <c:pt idx="6">
                  <c:v>24642.1</c:v>
                </c:pt>
                <c:pt idx="7">
                  <c:v>21949.66</c:v>
                </c:pt>
                <c:pt idx="8">
                  <c:v>25609.379999999994</c:v>
                </c:pt>
                <c:pt idx="9">
                  <c:v>30434.82</c:v>
                </c:pt>
                <c:pt idx="10">
                  <c:v>27451.25</c:v>
                </c:pt>
                <c:pt idx="11">
                  <c:v>21596.1</c:v>
                </c:pt>
                <c:pt idx="12">
                  <c:v>24477.189999999995</c:v>
                </c:pt>
                <c:pt idx="13">
                  <c:v>20158.779999999995</c:v>
                </c:pt>
                <c:pt idx="14">
                  <c:v>25332.620000000003</c:v>
                </c:pt>
                <c:pt idx="15">
                  <c:v>28895.149999999994</c:v>
                </c:pt>
                <c:pt idx="16">
                  <c:v>26648.33</c:v>
                </c:pt>
                <c:pt idx="17">
                  <c:v>16839.849999999999</c:v>
                </c:pt>
                <c:pt idx="18">
                  <c:v>23037.46</c:v>
                </c:pt>
                <c:pt idx="19">
                  <c:v>25684.879999999994</c:v>
                </c:pt>
                <c:pt idx="20">
                  <c:v>26587.640000000003</c:v>
                </c:pt>
                <c:pt idx="21">
                  <c:v>24826.6</c:v>
                </c:pt>
                <c:pt idx="22">
                  <c:v>32244.100000000009</c:v>
                </c:pt>
                <c:pt idx="23">
                  <c:v>26498.920000000006</c:v>
                </c:pt>
                <c:pt idx="24">
                  <c:v>18678.739999999998</c:v>
                </c:pt>
                <c:pt idx="25">
                  <c:v>27365.890000000003</c:v>
                </c:pt>
                <c:pt idx="26">
                  <c:v>26079.65</c:v>
                </c:pt>
                <c:pt idx="27">
                  <c:v>29976.260000000002</c:v>
                </c:pt>
                <c:pt idx="28">
                  <c:v>20368.45</c:v>
                </c:pt>
                <c:pt idx="29">
                  <c:v>25375.189999999995</c:v>
                </c:pt>
                <c:pt idx="30">
                  <c:v>26952.520000000004</c:v>
                </c:pt>
                <c:pt idx="31">
                  <c:v>26248.71</c:v>
                </c:pt>
                <c:pt idx="32">
                  <c:v>24456.47</c:v>
                </c:pt>
                <c:pt idx="33">
                  <c:v>5053.83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8-4C22-8D94-66508642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85031"/>
        <c:axId val="181189639"/>
      </c:lineChart>
      <c:catAx>
        <c:axId val="18118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peak during Q4 each year.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639"/>
        <c:crosses val="autoZero"/>
        <c:auto val="1"/>
        <c:lblAlgn val="ctr"/>
        <c:lblOffset val="100"/>
        <c:noMultiLvlLbl val="0"/>
      </c:catAx>
      <c:valAx>
        <c:axId val="181189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5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[Ecommerce_Sales_Dataset.xlsx]Pivot_Analysis!PivotTable2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146754270949696"/>
          <c:y val="1.6231848675272071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8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8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8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8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0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9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7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0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1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4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2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3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1"/>
        <c:spPr>
          <a:solidFill>
            <a:srgbClr val="637CE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8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49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0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1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2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3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4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5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6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7"/>
        <c:spPr>
          <a:solidFill>
            <a:srgbClr val="637CEF"/>
          </a:solidFill>
          <a:ln w="25400">
            <a:noFill/>
          </a:ln>
          <a:effectLst/>
        </c:spPr>
      </c:pivotFmt>
      <c:pivotFmt>
        <c:idx val="158"/>
        <c:spPr>
          <a:solidFill>
            <a:srgbClr val="538DD5"/>
          </a:solidFill>
          <a:ln w="25400">
            <a:noFill/>
          </a:ln>
          <a:effectLst/>
        </c:spPr>
      </c:pivotFmt>
      <c:pivotFmt>
        <c:idx val="159"/>
        <c:spPr>
          <a:solidFill>
            <a:srgbClr val="366092"/>
          </a:solidFill>
          <a:ln w="25400">
            <a:noFill/>
          </a:ln>
          <a:effectLst/>
        </c:spPr>
      </c:pivotFmt>
      <c:pivotFmt>
        <c:idx val="160"/>
        <c:spPr>
          <a:solidFill>
            <a:srgbClr val="4F81BD"/>
          </a:solidFill>
          <a:ln w="25400">
            <a:noFill/>
          </a:ln>
          <a:effectLst/>
        </c:spPr>
      </c:pivotFmt>
      <c:pivotFmt>
        <c:idx val="161"/>
        <c:spPr>
          <a:solidFill>
            <a:srgbClr val="8DB4E2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Pivot_Analysis!$B$11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36609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D2-4763-BB23-A89FF3094EAD}"/>
              </c:ext>
            </c:extLst>
          </c:dPt>
          <c:dPt>
            <c:idx val="1"/>
            <c:bubble3D val="0"/>
            <c:spPr>
              <a:solidFill>
                <a:srgbClr val="4F81B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2-4763-BB23-A89FF3094EAD}"/>
              </c:ext>
            </c:extLst>
          </c:dPt>
          <c:dPt>
            <c:idx val="2"/>
            <c:bubble3D val="0"/>
            <c:spPr>
              <a:solidFill>
                <a:srgbClr val="8DB4E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D2-4763-BB23-A89FF3094EAD}"/>
              </c:ext>
            </c:extLst>
          </c:dPt>
          <c:dPt>
            <c:idx val="3"/>
            <c:bubble3D val="0"/>
            <c:spPr>
              <a:solidFill>
                <a:srgbClr val="538DD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D2-4763-BB23-A89FF3094EA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D2-4763-BB23-A89FF3094EAD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D2-4763-BB23-A89FF3094EAD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D2-4763-BB23-A89FF3094EAD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D2-4763-BB23-A89FF3094EAD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D2-4763-BB23-A89FF3094EAD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4D2-4763-BB23-A89FF3094EAD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4D2-4763-BB23-A89FF3094EAD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4D2-4763-BB23-A89FF3094EAD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4D2-4763-BB23-A89FF3094EAD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4D2-4763-BB23-A89FF3094EAD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4D2-4763-BB23-A89FF3094EAD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4D2-4763-BB23-A89FF3094E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Pivot_Analysis!$A$12:$A$16</c:f>
              <c:strCache>
                <c:ptCount val="4"/>
                <c:pt idx="0">
                  <c:v>Home &amp; Kitchen</c:v>
                </c:pt>
                <c:pt idx="1">
                  <c:v>Beauty</c:v>
                </c:pt>
                <c:pt idx="2">
                  <c:v>Sports</c:v>
                </c:pt>
                <c:pt idx="3">
                  <c:v>Electronics</c:v>
                </c:pt>
              </c:strCache>
            </c:strRef>
          </c:cat>
          <c:val>
            <c:numRef>
              <c:f>Pivot_Analysis!$B$12:$B$16</c:f>
              <c:numCache>
                <c:formatCode>"$"#,##0.00</c:formatCode>
                <c:ptCount val="4"/>
                <c:pt idx="0">
                  <c:v>197052.32999999996</c:v>
                </c:pt>
                <c:pt idx="1">
                  <c:v>202441.31999999998</c:v>
                </c:pt>
                <c:pt idx="2">
                  <c:v>205216.71000000005</c:v>
                </c:pt>
                <c:pt idx="3">
                  <c:v>226257.93999999992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4D2-4763-BB23-A89FF3094E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3</xdr:row>
      <xdr:rowOff>9525</xdr:rowOff>
    </xdr:from>
    <xdr:to>
      <xdr:col>13</xdr:col>
      <xdr:colOff>9525</xdr:colOff>
      <xdr:row>8</xdr:row>
      <xdr:rowOff>9525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2BF20A8-B0F2-4DC6-A00D-B3120B1603CD}"/>
            </a:ext>
            <a:ext uri="{147F2762-F138-4A5C-976F-8EAC2B608ADB}">
              <a16:predDERef xmlns:a16="http://schemas.microsoft.com/office/drawing/2014/main" pred="{6C9CE423-8F31-0D77-9403-EE3FF70CD2AB}"/>
            </a:ext>
          </a:extLst>
        </xdr:cNvPr>
        <xdr:cNvSpPr/>
      </xdr:nvSpPr>
      <xdr:spPr>
        <a:xfrm>
          <a:off x="5334000" y="790575"/>
          <a:ext cx="2600325" cy="9525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Margin📈 17.12%</a:t>
          </a:r>
        </a:p>
      </xdr:txBody>
    </xdr:sp>
    <xdr:clientData/>
  </xdr:twoCellAnchor>
  <xdr:twoCellAnchor>
    <xdr:from>
      <xdr:col>4</xdr:col>
      <xdr:colOff>304800</xdr:colOff>
      <xdr:row>2</xdr:row>
      <xdr:rowOff>180975</xdr:rowOff>
    </xdr:from>
    <xdr:to>
      <xdr:col>8</xdr:col>
      <xdr:colOff>247650</xdr:colOff>
      <xdr:row>7</xdr:row>
      <xdr:rowOff>180975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35AF81B-7F48-4976-9D48-9665A2253FAF}"/>
            </a:ext>
            <a:ext uri="{147F2762-F138-4A5C-976F-8EAC2B608ADB}">
              <a16:predDERef xmlns:a16="http://schemas.microsoft.com/office/drawing/2014/main" pred="{42BF20A8-B0F2-4DC6-A00D-B3120B1603CD}"/>
            </a:ext>
          </a:extLst>
        </xdr:cNvPr>
        <xdr:cNvSpPr/>
      </xdr:nvSpPr>
      <xdr:spPr>
        <a:xfrm>
          <a:off x="2743200" y="771525"/>
          <a:ext cx="2381250" cy="9525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 📦$174,229</a:t>
          </a:r>
        </a:p>
      </xdr:txBody>
    </xdr:sp>
    <xdr:clientData/>
  </xdr:twoCellAnchor>
  <xdr:twoCellAnchor>
    <xdr:from>
      <xdr:col>0</xdr:col>
      <xdr:colOff>123825</xdr:colOff>
      <xdr:row>2</xdr:row>
      <xdr:rowOff>180975</xdr:rowOff>
    </xdr:from>
    <xdr:to>
      <xdr:col>4</xdr:col>
      <xdr:colOff>66675</xdr:colOff>
      <xdr:row>7</xdr:row>
      <xdr:rowOff>180975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D642EC6-B528-4841-9AE4-D6CEDA4361D0}"/>
            </a:ext>
            <a:ext uri="{147F2762-F138-4A5C-976F-8EAC2B608ADB}">
              <a16:predDERef xmlns:a16="http://schemas.microsoft.com/office/drawing/2014/main" pred="{F35AF81B-7F48-4976-9D48-9665A2253FAF}"/>
            </a:ext>
          </a:extLst>
        </xdr:cNvPr>
        <xdr:cNvSpPr/>
      </xdr:nvSpPr>
      <xdr:spPr>
        <a:xfrm>
          <a:off x="123825" y="771525"/>
          <a:ext cx="2381250" cy="9525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Sales💰 $1,017,970</a:t>
          </a:r>
        </a:p>
      </xdr:txBody>
    </xdr:sp>
    <xdr:clientData/>
  </xdr:twoCellAnchor>
  <xdr:twoCellAnchor>
    <xdr:from>
      <xdr:col>13</xdr:col>
      <xdr:colOff>238125</xdr:colOff>
      <xdr:row>3</xdr:row>
      <xdr:rowOff>9525</xdr:rowOff>
    </xdr:from>
    <xdr:to>
      <xdr:col>17</xdr:col>
      <xdr:colOff>514350</xdr:colOff>
      <xdr:row>8</xdr:row>
      <xdr:rowOff>9525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7212A22A-2AED-47D3-B4EE-AFEB83DF1854}"/>
            </a:ext>
            <a:ext uri="{147F2762-F138-4A5C-976F-8EAC2B608ADB}">
              <a16:predDERef xmlns:a16="http://schemas.microsoft.com/office/drawing/2014/main" pred="{DD642EC6-B528-4841-9AE4-D6CEDA4361D0}"/>
            </a:ext>
          </a:extLst>
        </xdr:cNvPr>
        <xdr:cNvSpPr/>
      </xdr:nvSpPr>
      <xdr:spPr>
        <a:xfrm>
          <a:off x="8162925" y="790575"/>
          <a:ext cx="2714625" cy="9525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Avg Order Value 🛍 $1,018</a:t>
          </a:r>
        </a:p>
      </xdr:txBody>
    </xdr:sp>
    <xdr:clientData/>
  </xdr:twoCellAnchor>
  <xdr:twoCellAnchor>
    <xdr:from>
      <xdr:col>0</xdr:col>
      <xdr:colOff>114300</xdr:colOff>
      <xdr:row>8</xdr:row>
      <xdr:rowOff>133350</xdr:rowOff>
    </xdr:from>
    <xdr:to>
      <xdr:col>7</xdr:col>
      <xdr:colOff>142875</xdr:colOff>
      <xdr:row>18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701EC7-1F48-43B1-970F-4FFCE43F71F9}"/>
            </a:ext>
            <a:ext uri="{147F2762-F138-4A5C-976F-8EAC2B608ADB}">
              <a16:predDERef xmlns:a16="http://schemas.microsoft.com/office/drawing/2014/main" pred="{7212A22A-2AED-47D3-B4EE-AFEB83DF1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8</xdr:row>
      <xdr:rowOff>123825</xdr:rowOff>
    </xdr:from>
    <xdr:to>
      <xdr:col>14</xdr:col>
      <xdr:colOff>123825</xdr:colOff>
      <xdr:row>18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85DF04-458D-4934-B6A9-C124C8454576}"/>
            </a:ext>
            <a:ext uri="{147F2762-F138-4A5C-976F-8EAC2B608ADB}">
              <a16:predDERef xmlns:a16="http://schemas.microsoft.com/office/drawing/2014/main" pred="{19701EC7-1F48-43B1-970F-4FFCE43F7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18</xdr:row>
      <xdr:rowOff>180975</xdr:rowOff>
    </xdr:from>
    <xdr:to>
      <xdr:col>7</xdr:col>
      <xdr:colOff>142875</xdr:colOff>
      <xdr:row>31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554559-5386-4857-8FE5-64F4EF100739}"/>
            </a:ext>
            <a:ext uri="{147F2762-F138-4A5C-976F-8EAC2B608ADB}">
              <a16:predDERef xmlns:a16="http://schemas.microsoft.com/office/drawing/2014/main" pred="{3985DF04-458D-4934-B6A9-C124C8454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342900</xdr:colOff>
      <xdr:row>11</xdr:row>
      <xdr:rowOff>28575</xdr:rowOff>
    </xdr:from>
    <xdr:to>
      <xdr:col>17</xdr:col>
      <xdr:colOff>495300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0CA95A4C-43B2-6B85-3DFE-3C0765ABE44E}"/>
                </a:ext>
                <a:ext uri="{147F2762-F138-4A5C-976F-8EAC2B608ADB}">
                  <a16:predDERef xmlns:a16="http://schemas.microsoft.com/office/drawing/2014/main" pred="{71554559-5386-4857-8FE5-64F4EF1007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1885950"/>
              <a:ext cx="19812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342900</xdr:colOff>
      <xdr:row>25</xdr:row>
      <xdr:rowOff>85725</xdr:rowOff>
    </xdr:from>
    <xdr:to>
      <xdr:col>17</xdr:col>
      <xdr:colOff>523875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37833DF8-B503-38D0-FBA2-00BDDB18D793}"/>
                </a:ext>
                <a:ext uri="{147F2762-F138-4A5C-976F-8EAC2B608ADB}">
                  <a16:predDERef xmlns:a16="http://schemas.microsoft.com/office/drawing/2014/main" pred="{0CA95A4C-43B2-6B85-3DFE-3C0765ABE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4714875"/>
              <a:ext cx="200977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342900</xdr:colOff>
      <xdr:row>18</xdr:row>
      <xdr:rowOff>28575</xdr:rowOff>
    </xdr:from>
    <xdr:to>
      <xdr:col>17</xdr:col>
      <xdr:colOff>504825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ustomer Segment">
              <a:extLst>
                <a:ext uri="{FF2B5EF4-FFF2-40B4-BE49-F238E27FC236}">
                  <a16:creationId xmlns:a16="http://schemas.microsoft.com/office/drawing/2014/main" id="{B42701D1-5449-20BF-03E6-0CF6B5C46AFD}"/>
                </a:ext>
                <a:ext uri="{147F2762-F138-4A5C-976F-8EAC2B608ADB}">
                  <a16:predDERef xmlns:a16="http://schemas.microsoft.com/office/drawing/2014/main" pred="{37833DF8-B503-38D0-FBA2-00BDDB18D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3267075"/>
              <a:ext cx="1990725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14</xdr:col>
      <xdr:colOff>342900</xdr:colOff>
      <xdr:row>8</xdr:row>
      <xdr:rowOff>142875</xdr:rowOff>
    </xdr:from>
    <xdr:to>
      <xdr:col>17</xdr:col>
      <xdr:colOff>485775</xdr:colOff>
      <xdr:row>10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3C50A0-960F-BEA6-F49A-3B33DB76680D}"/>
            </a:ext>
            <a:ext uri="{147F2762-F138-4A5C-976F-8EAC2B608ADB}">
              <a16:predDERef xmlns:a16="http://schemas.microsoft.com/office/drawing/2014/main" pred="{B42701D1-5449-20BF-03E6-0CF6B5C46AFD}"/>
            </a:ext>
          </a:extLst>
        </xdr:cNvPr>
        <xdr:cNvSpPr txBox="1"/>
      </xdr:nvSpPr>
      <xdr:spPr>
        <a:xfrm>
          <a:off x="8877300" y="1876425"/>
          <a:ext cx="19716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Filters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877791435189" createdVersion="8" refreshedVersion="8" minRefreshableVersion="3" recordCount="1000" xr:uid="{5D38418A-72B0-4664-AA6E-C85E7AC3A166}">
  <cacheSource type="worksheet">
    <worksheetSource name="tblSales"/>
  </cacheSource>
  <cacheFields count="13">
    <cacheField name="Order ID" numFmtId="0">
      <sharedItems/>
    </cacheField>
    <cacheField name="Order Date" numFmtId="165">
      <sharedItems containsSemiMixedTypes="0" containsNonDate="0" containsDate="1" containsString="0" minDate="2022-04-13T00:00:00" maxDate="2025-01-07T00:00:00"/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5">
        <s v="Electronics"/>
        <s v="Beauty"/>
        <s v="Clothing"/>
        <s v="Sports"/>
        <s v="Home &amp; Kitchen"/>
      </sharedItems>
    </cacheField>
    <cacheField name="Sub-Category" numFmtId="0">
      <sharedItems count="16">
        <s v="Cameras"/>
        <s v="Makeup"/>
        <s v="Women"/>
        <s v="Men"/>
        <s v="Fitness"/>
        <s v="Outdoor"/>
        <s v="Kids"/>
        <s v="Accessories"/>
        <s v="Skincare"/>
        <s v="Phones"/>
        <s v="Furniture"/>
        <s v="Laptops"/>
        <s v="Decor"/>
        <s v="Haircare"/>
        <s v="Equipment"/>
        <s v="Appliances"/>
      </sharedItems>
    </cacheField>
    <cacheField name="Product Name" numFmtId="0">
      <sharedItems/>
    </cacheField>
    <cacheField name="Sales" numFmtId="0">
      <sharedItems containsSemiMixedTypes="0" containsString="0" containsNumber="1" minValue="20.27" maxValue="1999.44"/>
    </cacheField>
    <cacheField name="Quantity" numFmtId="0">
      <sharedItems containsSemiMixedTypes="0" containsString="0" containsNumber="1" containsInteger="1" minValue="1" maxValue="9"/>
    </cacheField>
    <cacheField name="Profit" numFmtId="0">
      <sharedItems containsSemiMixedTypes="0" containsString="0" containsNumber="1" minValue="2.41" maxValue="575.39"/>
    </cacheField>
    <cacheField name="Customer Segment" numFmtId="0">
      <sharedItems count="3">
        <s v="Corporate"/>
        <s v="Small Business"/>
        <s v="Consumer"/>
      </sharedItems>
    </cacheField>
    <cacheField name="Profit Margin" numFmtId="10">
      <sharedItems containsSemiMixedTypes="0" containsString="0" containsNumber="1" minValue="5.0308618062550041E-2" maxValue="0.29992509998445471"/>
    </cacheField>
    <cacheField name="Order 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Order 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 pivotCacheId="10752399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-10000"/>
    <d v="2022-04-13T00:00:00"/>
    <x v="0"/>
    <x v="0"/>
    <x v="0"/>
    <s v="Cameras Item 180"/>
    <n v="1902.41"/>
    <n v="8"/>
    <n v="379.84"/>
    <x v="0"/>
    <n v="0.19966253331300821"/>
    <x v="0"/>
    <x v="0"/>
  </r>
  <r>
    <s v="O-10001"/>
    <d v="2022-04-14T00:00:00"/>
    <x v="1"/>
    <x v="1"/>
    <x v="1"/>
    <s v="Makeup Item 122"/>
    <n v="328.87"/>
    <n v="8"/>
    <n v="43.88"/>
    <x v="1"/>
    <n v="0.13342658193207044"/>
    <x v="0"/>
    <x v="0"/>
  </r>
  <r>
    <s v="O-10002"/>
    <d v="2022-04-15T00:00:00"/>
    <x v="1"/>
    <x v="2"/>
    <x v="2"/>
    <s v="Women Item 131"/>
    <n v="60.76"/>
    <n v="2"/>
    <n v="14.01"/>
    <x v="2"/>
    <n v="0.23057932850559579"/>
    <x v="0"/>
    <x v="0"/>
  </r>
  <r>
    <s v="O-10003"/>
    <d v="2022-04-16T00:00:00"/>
    <x v="1"/>
    <x v="2"/>
    <x v="2"/>
    <s v="Women Item 38"/>
    <n v="21.54"/>
    <n v="5"/>
    <n v="4.4000000000000004"/>
    <x v="2"/>
    <n v="0.20427112349117924"/>
    <x v="0"/>
    <x v="0"/>
  </r>
  <r>
    <s v="O-10004"/>
    <d v="2022-04-17T00:00:00"/>
    <x v="2"/>
    <x v="2"/>
    <x v="3"/>
    <s v="Men Item 22"/>
    <n v="33.99"/>
    <n v="9"/>
    <n v="4.17"/>
    <x v="1"/>
    <n v="0.12268314210061781"/>
    <x v="0"/>
    <x v="0"/>
  </r>
  <r>
    <s v="O-10005"/>
    <d v="2022-04-18T00:00:00"/>
    <x v="1"/>
    <x v="0"/>
    <x v="0"/>
    <s v="Cameras Item 170"/>
    <n v="112.4"/>
    <n v="3"/>
    <n v="16.37"/>
    <x v="1"/>
    <n v="0.14564056939501779"/>
    <x v="0"/>
    <x v="0"/>
  </r>
  <r>
    <s v="O-10006"/>
    <d v="2022-04-19T00:00:00"/>
    <x v="3"/>
    <x v="3"/>
    <x v="4"/>
    <s v="Fitness Item 64"/>
    <n v="944.19"/>
    <n v="5"/>
    <n v="190.62"/>
    <x v="0"/>
    <n v="0.20188733199885617"/>
    <x v="0"/>
    <x v="0"/>
  </r>
  <r>
    <s v="O-10007"/>
    <d v="2022-04-20T00:00:00"/>
    <x v="0"/>
    <x v="3"/>
    <x v="5"/>
    <s v="Outdoor Item 73"/>
    <n v="148.80000000000001"/>
    <n v="4"/>
    <n v="42.49"/>
    <x v="2"/>
    <n v="0.28555107526881718"/>
    <x v="0"/>
    <x v="0"/>
  </r>
  <r>
    <s v="O-10008"/>
    <d v="2022-04-21T00:00:00"/>
    <x v="1"/>
    <x v="2"/>
    <x v="3"/>
    <s v="Men Item 9"/>
    <n v="51.61"/>
    <n v="2"/>
    <n v="11.41"/>
    <x v="2"/>
    <n v="0.22108118581670219"/>
    <x v="0"/>
    <x v="0"/>
  </r>
  <r>
    <s v="O-10009"/>
    <d v="2022-04-22T00:00:00"/>
    <x v="2"/>
    <x v="2"/>
    <x v="6"/>
    <s v="Kids Item 188"/>
    <n v="261.64"/>
    <n v="8"/>
    <n v="15.33"/>
    <x v="2"/>
    <n v="5.8591958416144327E-2"/>
    <x v="0"/>
    <x v="0"/>
  </r>
  <r>
    <s v="O-10010"/>
    <d v="2022-04-23T00:00:00"/>
    <x v="3"/>
    <x v="0"/>
    <x v="7"/>
    <s v="Accessories Item 81"/>
    <n v="532.38"/>
    <n v="8"/>
    <n v="127.15"/>
    <x v="0"/>
    <n v="0.23883316428115256"/>
    <x v="0"/>
    <x v="0"/>
  </r>
  <r>
    <s v="O-10011"/>
    <d v="2022-04-24T00:00:00"/>
    <x v="1"/>
    <x v="0"/>
    <x v="0"/>
    <s v="Cameras Item 54"/>
    <n v="1102.49"/>
    <n v="6"/>
    <n v="63.76"/>
    <x v="1"/>
    <n v="5.7832724106341098E-2"/>
    <x v="0"/>
    <x v="0"/>
  </r>
  <r>
    <s v="O-10012"/>
    <d v="2022-04-25T00:00:00"/>
    <x v="3"/>
    <x v="1"/>
    <x v="8"/>
    <s v="Skincare Item 44"/>
    <n v="1880.21"/>
    <n v="4"/>
    <n v="375.05"/>
    <x v="1"/>
    <n v="0.199472399359646"/>
    <x v="0"/>
    <x v="0"/>
  </r>
  <r>
    <s v="O-10013"/>
    <d v="2022-04-26T00:00:00"/>
    <x v="2"/>
    <x v="0"/>
    <x v="9"/>
    <s v="Phones Item 190"/>
    <n v="664.15"/>
    <n v="2"/>
    <n v="122.82"/>
    <x v="0"/>
    <n v="0.18492810359105624"/>
    <x v="0"/>
    <x v="0"/>
  </r>
  <r>
    <s v="O-10014"/>
    <d v="2022-04-27T00:00:00"/>
    <x v="3"/>
    <x v="2"/>
    <x v="2"/>
    <s v="Women Item 188"/>
    <n v="1094.54"/>
    <n v="9"/>
    <n v="135.80000000000001"/>
    <x v="0"/>
    <n v="0.12407038573281928"/>
    <x v="0"/>
    <x v="0"/>
  </r>
  <r>
    <s v="O-10015"/>
    <d v="2022-04-28T00:00:00"/>
    <x v="2"/>
    <x v="3"/>
    <x v="4"/>
    <s v="Fitness Item 89"/>
    <n v="1974.04"/>
    <n v="8"/>
    <n v="293.58"/>
    <x v="0"/>
    <n v="0.14872039067090839"/>
    <x v="0"/>
    <x v="0"/>
  </r>
  <r>
    <s v="O-10016"/>
    <d v="2022-04-29T00:00:00"/>
    <x v="0"/>
    <x v="0"/>
    <x v="7"/>
    <s v="Accessories Item 63"/>
    <n v="1634.61"/>
    <n v="1"/>
    <n v="372.42"/>
    <x v="0"/>
    <n v="0.22783416227724046"/>
    <x v="0"/>
    <x v="0"/>
  </r>
  <r>
    <s v="O-10017"/>
    <d v="2022-04-30T00:00:00"/>
    <x v="2"/>
    <x v="3"/>
    <x v="5"/>
    <s v="Outdoor Item 33"/>
    <n v="1219.8"/>
    <n v="7"/>
    <n v="259.54000000000002"/>
    <x v="0"/>
    <n v="0.21277258566978197"/>
    <x v="0"/>
    <x v="0"/>
  </r>
  <r>
    <s v="O-10018"/>
    <d v="2022-05-01T00:00:00"/>
    <x v="0"/>
    <x v="3"/>
    <x v="5"/>
    <s v="Outdoor Item 135"/>
    <n v="1703.08"/>
    <n v="2"/>
    <n v="125.78"/>
    <x v="0"/>
    <n v="7.3854428447283751E-2"/>
    <x v="1"/>
    <x v="0"/>
  </r>
  <r>
    <s v="O-10019"/>
    <d v="2022-05-02T00:00:00"/>
    <x v="3"/>
    <x v="4"/>
    <x v="10"/>
    <s v="Furniture Item 151"/>
    <n v="1344.31"/>
    <n v="5"/>
    <n v="312.42"/>
    <x v="2"/>
    <n v="0.23240175257195142"/>
    <x v="1"/>
    <x v="0"/>
  </r>
  <r>
    <s v="O-10020"/>
    <d v="2022-05-03T00:00:00"/>
    <x v="3"/>
    <x v="1"/>
    <x v="1"/>
    <s v="Makeup Item 35"/>
    <n v="954.99"/>
    <n v="5"/>
    <n v="279.74"/>
    <x v="2"/>
    <n v="0.29292453324118578"/>
    <x v="1"/>
    <x v="0"/>
  </r>
  <r>
    <s v="O-10021"/>
    <d v="2022-05-04T00:00:00"/>
    <x v="0"/>
    <x v="0"/>
    <x v="11"/>
    <s v="Laptops Item 1"/>
    <n v="1449.02"/>
    <n v="7"/>
    <n v="351.74"/>
    <x v="0"/>
    <n v="0.24274337138203753"/>
    <x v="1"/>
    <x v="0"/>
  </r>
  <r>
    <s v="O-10022"/>
    <d v="2022-05-05T00:00:00"/>
    <x v="3"/>
    <x v="3"/>
    <x v="4"/>
    <s v="Fitness Item 15"/>
    <n v="239.56"/>
    <n v="3"/>
    <n v="13.86"/>
    <x v="0"/>
    <n v="5.7856069460677909E-2"/>
    <x v="1"/>
    <x v="0"/>
  </r>
  <r>
    <s v="O-10023"/>
    <d v="2022-05-06T00:00:00"/>
    <x v="1"/>
    <x v="4"/>
    <x v="12"/>
    <s v="Decor Item 52"/>
    <n v="1135.29"/>
    <n v="4"/>
    <n v="314.35000000000002"/>
    <x v="1"/>
    <n v="0.27688960529908663"/>
    <x v="1"/>
    <x v="0"/>
  </r>
  <r>
    <s v="O-10024"/>
    <d v="2022-05-07T00:00:00"/>
    <x v="2"/>
    <x v="0"/>
    <x v="7"/>
    <s v="Accessories Item 143"/>
    <n v="1515.99"/>
    <n v="4"/>
    <n v="433.14"/>
    <x v="2"/>
    <n v="0.2857142857142857"/>
    <x v="1"/>
    <x v="0"/>
  </r>
  <r>
    <s v="O-10025"/>
    <d v="2022-05-08T00:00:00"/>
    <x v="3"/>
    <x v="1"/>
    <x v="13"/>
    <s v="Haircare Item 86"/>
    <n v="1763.33"/>
    <n v="9"/>
    <n v="134.66999999999999"/>
    <x v="2"/>
    <n v="7.6372545127684544E-2"/>
    <x v="1"/>
    <x v="0"/>
  </r>
  <r>
    <s v="O-10026"/>
    <d v="2022-05-09T00:00:00"/>
    <x v="0"/>
    <x v="3"/>
    <x v="14"/>
    <s v="Equipment Item 108"/>
    <n v="389.41"/>
    <n v="7"/>
    <n v="106.71"/>
    <x v="0"/>
    <n v="0.27402994273387943"/>
    <x v="1"/>
    <x v="0"/>
  </r>
  <r>
    <s v="O-10027"/>
    <d v="2022-05-10T00:00:00"/>
    <x v="0"/>
    <x v="0"/>
    <x v="0"/>
    <s v="Cameras Item 190"/>
    <n v="237.9"/>
    <n v="9"/>
    <n v="50.42"/>
    <x v="1"/>
    <n v="0.21193778898696933"/>
    <x v="1"/>
    <x v="0"/>
  </r>
  <r>
    <s v="O-10028"/>
    <d v="2022-05-11T00:00:00"/>
    <x v="1"/>
    <x v="1"/>
    <x v="13"/>
    <s v="Haircare Item 116"/>
    <n v="718.09"/>
    <n v="3"/>
    <n v="37.15"/>
    <x v="0"/>
    <n v="5.1734462254035003E-2"/>
    <x v="1"/>
    <x v="0"/>
  </r>
  <r>
    <s v="O-10029"/>
    <d v="2022-05-12T00:00:00"/>
    <x v="1"/>
    <x v="0"/>
    <x v="9"/>
    <s v="Phones Item 155"/>
    <n v="846.47"/>
    <n v="5"/>
    <n v="188.86"/>
    <x v="2"/>
    <n v="0.22311481800890759"/>
    <x v="1"/>
    <x v="0"/>
  </r>
  <r>
    <s v="O-10030"/>
    <d v="2022-05-13T00:00:00"/>
    <x v="3"/>
    <x v="4"/>
    <x v="12"/>
    <s v="Decor Item 172"/>
    <n v="503.37"/>
    <n v="6"/>
    <n v="52.7"/>
    <x v="2"/>
    <n v="0.10469436001350896"/>
    <x v="1"/>
    <x v="0"/>
  </r>
  <r>
    <s v="O-10031"/>
    <d v="2022-05-14T00:00:00"/>
    <x v="2"/>
    <x v="0"/>
    <x v="11"/>
    <s v="Laptops Item 180"/>
    <n v="739.99"/>
    <n v="1"/>
    <n v="83.97"/>
    <x v="0"/>
    <n v="0.11347450641224881"/>
    <x v="1"/>
    <x v="0"/>
  </r>
  <r>
    <s v="O-10032"/>
    <d v="2022-05-15T00:00:00"/>
    <x v="0"/>
    <x v="1"/>
    <x v="8"/>
    <s v="Skincare Item 39"/>
    <n v="1004.55"/>
    <n v="1"/>
    <n v="87.42"/>
    <x v="2"/>
    <n v="8.7024040615200846E-2"/>
    <x v="1"/>
    <x v="0"/>
  </r>
  <r>
    <s v="O-10033"/>
    <d v="2022-05-16T00:00:00"/>
    <x v="2"/>
    <x v="3"/>
    <x v="5"/>
    <s v="Outdoor Item 187"/>
    <n v="1226.94"/>
    <n v="2"/>
    <n v="187.43"/>
    <x v="1"/>
    <n v="0.15276215625865974"/>
    <x v="1"/>
    <x v="0"/>
  </r>
  <r>
    <s v="O-10034"/>
    <d v="2022-05-17T00:00:00"/>
    <x v="2"/>
    <x v="4"/>
    <x v="12"/>
    <s v="Decor Item 129"/>
    <n v="494.33"/>
    <n v="2"/>
    <n v="90.33"/>
    <x v="0"/>
    <n v="0.18273218295470636"/>
    <x v="1"/>
    <x v="0"/>
  </r>
  <r>
    <s v="O-10035"/>
    <d v="2022-05-18T00:00:00"/>
    <x v="0"/>
    <x v="3"/>
    <x v="14"/>
    <s v="Equipment Item 160"/>
    <n v="1114.73"/>
    <n v="7"/>
    <n v="243.05"/>
    <x v="2"/>
    <n v="0.21803486045948348"/>
    <x v="1"/>
    <x v="0"/>
  </r>
  <r>
    <s v="O-10036"/>
    <d v="2022-05-19T00:00:00"/>
    <x v="0"/>
    <x v="0"/>
    <x v="9"/>
    <s v="Phones Item 184"/>
    <n v="490.52"/>
    <n v="6"/>
    <n v="69.63"/>
    <x v="0"/>
    <n v="0.14195139851586072"/>
    <x v="1"/>
    <x v="0"/>
  </r>
  <r>
    <s v="O-10037"/>
    <d v="2022-05-20T00:00:00"/>
    <x v="1"/>
    <x v="2"/>
    <x v="6"/>
    <s v="Kids Item 198"/>
    <n v="809.67"/>
    <n v="1"/>
    <n v="70.989999999999995"/>
    <x v="2"/>
    <n v="8.7677695851396245E-2"/>
    <x v="1"/>
    <x v="0"/>
  </r>
  <r>
    <s v="O-10038"/>
    <d v="2022-05-21T00:00:00"/>
    <x v="0"/>
    <x v="0"/>
    <x v="7"/>
    <s v="Accessories Item 70"/>
    <n v="1397.71"/>
    <n v="3"/>
    <n v="276.36"/>
    <x v="1"/>
    <n v="0.19772341902111312"/>
    <x v="1"/>
    <x v="0"/>
  </r>
  <r>
    <s v="O-10039"/>
    <d v="2022-05-22T00:00:00"/>
    <x v="2"/>
    <x v="3"/>
    <x v="4"/>
    <s v="Fitness Item 90"/>
    <n v="1033.94"/>
    <n v="3"/>
    <n v="141.82"/>
    <x v="0"/>
    <n v="0.13716463237712051"/>
    <x v="1"/>
    <x v="0"/>
  </r>
  <r>
    <s v="O-10040"/>
    <d v="2022-05-23T00:00:00"/>
    <x v="3"/>
    <x v="0"/>
    <x v="0"/>
    <s v="Cameras Item 52"/>
    <n v="1882.24"/>
    <n v="8"/>
    <n v="276.08999999999997"/>
    <x v="1"/>
    <n v="0.1466816133968038"/>
    <x v="1"/>
    <x v="0"/>
  </r>
  <r>
    <s v="O-10041"/>
    <d v="2022-05-24T00:00:00"/>
    <x v="3"/>
    <x v="4"/>
    <x v="10"/>
    <s v="Furniture Item 104"/>
    <n v="292.29000000000002"/>
    <n v="9"/>
    <n v="22.91"/>
    <x v="1"/>
    <n v="7.8381059906257475E-2"/>
    <x v="1"/>
    <x v="0"/>
  </r>
  <r>
    <s v="O-10042"/>
    <d v="2022-05-25T00:00:00"/>
    <x v="2"/>
    <x v="3"/>
    <x v="14"/>
    <s v="Equipment Item 159"/>
    <n v="1757.13"/>
    <n v="3"/>
    <n v="188.25"/>
    <x v="0"/>
    <n v="0.10713493025558724"/>
    <x v="1"/>
    <x v="0"/>
  </r>
  <r>
    <s v="O-10043"/>
    <d v="2022-05-26T00:00:00"/>
    <x v="1"/>
    <x v="2"/>
    <x v="2"/>
    <s v="Women Item 90"/>
    <n v="1964.69"/>
    <n v="4"/>
    <n v="358.38"/>
    <x v="2"/>
    <n v="0.18241045661147559"/>
    <x v="1"/>
    <x v="0"/>
  </r>
  <r>
    <s v="O-10044"/>
    <d v="2022-05-27T00:00:00"/>
    <x v="2"/>
    <x v="4"/>
    <x v="12"/>
    <s v="Decor Item 129"/>
    <n v="204.34"/>
    <n v="5"/>
    <n v="56.21"/>
    <x v="1"/>
    <n v="0.27508074777331898"/>
    <x v="1"/>
    <x v="0"/>
  </r>
  <r>
    <s v="O-10045"/>
    <d v="2022-05-28T00:00:00"/>
    <x v="2"/>
    <x v="1"/>
    <x v="8"/>
    <s v="Skincare Item 99"/>
    <n v="1406.71"/>
    <n v="3"/>
    <n v="371.49"/>
    <x v="0"/>
    <n v="0.26408428176383192"/>
    <x v="1"/>
    <x v="0"/>
  </r>
  <r>
    <s v="O-10046"/>
    <d v="2022-05-29T00:00:00"/>
    <x v="0"/>
    <x v="2"/>
    <x v="3"/>
    <s v="Men Item 120"/>
    <n v="1777.78"/>
    <n v="4"/>
    <n v="126.28"/>
    <x v="1"/>
    <n v="7.1032411209485988E-2"/>
    <x v="1"/>
    <x v="0"/>
  </r>
  <r>
    <s v="O-10047"/>
    <d v="2022-05-30T00:00:00"/>
    <x v="1"/>
    <x v="4"/>
    <x v="12"/>
    <s v="Decor Item 166"/>
    <n v="1344.6"/>
    <n v="3"/>
    <n v="192.37"/>
    <x v="1"/>
    <n v="0.14306857057861075"/>
    <x v="1"/>
    <x v="0"/>
  </r>
  <r>
    <s v="O-10048"/>
    <d v="2022-05-31T00:00:00"/>
    <x v="1"/>
    <x v="4"/>
    <x v="12"/>
    <s v="Decor Item 99"/>
    <n v="1947.85"/>
    <n v="2"/>
    <n v="175.7"/>
    <x v="0"/>
    <n v="9.0202017609158816E-2"/>
    <x v="1"/>
    <x v="0"/>
  </r>
  <r>
    <s v="O-10049"/>
    <d v="2022-06-01T00:00:00"/>
    <x v="2"/>
    <x v="3"/>
    <x v="5"/>
    <s v="Outdoor Item 194"/>
    <n v="1389.95"/>
    <n v="9"/>
    <n v="130.63"/>
    <x v="2"/>
    <n v="9.3981797906399503E-2"/>
    <x v="2"/>
    <x v="0"/>
  </r>
  <r>
    <s v="O-10050"/>
    <d v="2022-06-02T00:00:00"/>
    <x v="0"/>
    <x v="2"/>
    <x v="2"/>
    <s v="Women Item 33"/>
    <n v="997.91"/>
    <n v="4"/>
    <n v="141.32"/>
    <x v="1"/>
    <n v="0.14161597739275084"/>
    <x v="2"/>
    <x v="0"/>
  </r>
  <r>
    <s v="O-10051"/>
    <d v="2022-06-03T00:00:00"/>
    <x v="0"/>
    <x v="4"/>
    <x v="10"/>
    <s v="Furniture Item 135"/>
    <n v="1447.46"/>
    <n v="1"/>
    <n v="268.7"/>
    <x v="2"/>
    <n v="0.18563552706119685"/>
    <x v="2"/>
    <x v="0"/>
  </r>
  <r>
    <s v="O-10052"/>
    <d v="2022-06-04T00:00:00"/>
    <x v="1"/>
    <x v="2"/>
    <x v="6"/>
    <s v="Kids Item 119"/>
    <n v="515.91"/>
    <n v="6"/>
    <n v="152.05000000000001"/>
    <x v="0"/>
    <n v="0.29472194762652404"/>
    <x v="2"/>
    <x v="0"/>
  </r>
  <r>
    <s v="O-10053"/>
    <d v="2022-06-05T00:00:00"/>
    <x v="2"/>
    <x v="1"/>
    <x v="8"/>
    <s v="Skincare Item 182"/>
    <n v="1814.08"/>
    <n v="2"/>
    <n v="249.47"/>
    <x v="2"/>
    <n v="0.13751874228258953"/>
    <x v="2"/>
    <x v="0"/>
  </r>
  <r>
    <s v="O-10054"/>
    <d v="2022-06-06T00:00:00"/>
    <x v="0"/>
    <x v="4"/>
    <x v="10"/>
    <s v="Furniture Item 28"/>
    <n v="1344.47"/>
    <n v="1"/>
    <n v="132.85"/>
    <x v="1"/>
    <n v="9.8812171338891905E-2"/>
    <x v="2"/>
    <x v="0"/>
  </r>
  <r>
    <s v="O-10055"/>
    <d v="2022-06-07T00:00:00"/>
    <x v="1"/>
    <x v="0"/>
    <x v="11"/>
    <s v="Laptops Item 4"/>
    <n v="68.150000000000006"/>
    <n v="1"/>
    <n v="4.1500000000000004"/>
    <x v="2"/>
    <n v="6.0895084372707263E-2"/>
    <x v="2"/>
    <x v="0"/>
  </r>
  <r>
    <s v="O-10056"/>
    <d v="2022-06-08T00:00:00"/>
    <x v="2"/>
    <x v="3"/>
    <x v="5"/>
    <s v="Outdoor Item 158"/>
    <n v="1908.78"/>
    <n v="5"/>
    <n v="517.04"/>
    <x v="2"/>
    <n v="0.2708745900522847"/>
    <x v="2"/>
    <x v="0"/>
  </r>
  <r>
    <s v="O-10057"/>
    <d v="2022-06-09T00:00:00"/>
    <x v="1"/>
    <x v="1"/>
    <x v="1"/>
    <s v="Makeup Item 24"/>
    <n v="674.89"/>
    <n v="5"/>
    <n v="130.30000000000001"/>
    <x v="0"/>
    <n v="0.19306850005186033"/>
    <x v="2"/>
    <x v="0"/>
  </r>
  <r>
    <s v="O-10058"/>
    <d v="2022-06-10T00:00:00"/>
    <x v="1"/>
    <x v="0"/>
    <x v="0"/>
    <s v="Cameras Item 116"/>
    <n v="603.01"/>
    <n v="5"/>
    <n v="58.93"/>
    <x v="0"/>
    <n v="9.7726405863916024E-2"/>
    <x v="2"/>
    <x v="0"/>
  </r>
  <r>
    <s v="O-10059"/>
    <d v="2022-06-11T00:00:00"/>
    <x v="2"/>
    <x v="2"/>
    <x v="2"/>
    <s v="Women Item 67"/>
    <n v="355.6"/>
    <n v="9"/>
    <n v="52.87"/>
    <x v="1"/>
    <n v="0.14867829021372328"/>
    <x v="2"/>
    <x v="0"/>
  </r>
  <r>
    <s v="O-10060"/>
    <d v="2022-06-12T00:00:00"/>
    <x v="2"/>
    <x v="0"/>
    <x v="0"/>
    <s v="Cameras Item 58"/>
    <n v="1861.43"/>
    <n v="8"/>
    <n v="190.29"/>
    <x v="0"/>
    <n v="0.10222785707762311"/>
    <x v="2"/>
    <x v="0"/>
  </r>
  <r>
    <s v="O-10061"/>
    <d v="2022-06-13T00:00:00"/>
    <x v="3"/>
    <x v="3"/>
    <x v="4"/>
    <s v="Fitness Item 194"/>
    <n v="523.24"/>
    <n v="2"/>
    <n v="68.349999999999994"/>
    <x v="2"/>
    <n v="0.1306283923247458"/>
    <x v="2"/>
    <x v="0"/>
  </r>
  <r>
    <s v="O-10062"/>
    <d v="2022-06-14T00:00:00"/>
    <x v="3"/>
    <x v="4"/>
    <x v="15"/>
    <s v="Appliances Item 161"/>
    <n v="290.51"/>
    <n v="6"/>
    <n v="40.630000000000003"/>
    <x v="2"/>
    <n v="0.13985749199683317"/>
    <x v="2"/>
    <x v="0"/>
  </r>
  <r>
    <s v="O-10063"/>
    <d v="2022-06-15T00:00:00"/>
    <x v="2"/>
    <x v="3"/>
    <x v="5"/>
    <s v="Outdoor Item 170"/>
    <n v="1622.54"/>
    <n v="3"/>
    <n v="185.05"/>
    <x v="1"/>
    <n v="0.11404957658979133"/>
    <x v="2"/>
    <x v="0"/>
  </r>
  <r>
    <s v="O-10064"/>
    <d v="2022-06-16T00:00:00"/>
    <x v="3"/>
    <x v="4"/>
    <x v="10"/>
    <s v="Furniture Item 13"/>
    <n v="181.56"/>
    <n v="7"/>
    <n v="31.84"/>
    <x v="0"/>
    <n v="0.17536902401410001"/>
    <x v="2"/>
    <x v="0"/>
  </r>
  <r>
    <s v="O-10065"/>
    <d v="2022-06-17T00:00:00"/>
    <x v="1"/>
    <x v="2"/>
    <x v="3"/>
    <s v="Men Item 20"/>
    <n v="1306.93"/>
    <n v="3"/>
    <n v="175.78"/>
    <x v="2"/>
    <n v="0.13449840465824489"/>
    <x v="2"/>
    <x v="0"/>
  </r>
  <r>
    <s v="O-10066"/>
    <d v="2022-06-18T00:00:00"/>
    <x v="0"/>
    <x v="3"/>
    <x v="14"/>
    <s v="Equipment Item 98"/>
    <n v="206.08"/>
    <n v="7"/>
    <n v="44.93"/>
    <x v="1"/>
    <n v="0.21802212732919254"/>
    <x v="2"/>
    <x v="0"/>
  </r>
  <r>
    <s v="O-10067"/>
    <d v="2022-06-19T00:00:00"/>
    <x v="0"/>
    <x v="3"/>
    <x v="14"/>
    <s v="Equipment Item 153"/>
    <n v="326.98"/>
    <n v="6"/>
    <n v="64.650000000000006"/>
    <x v="1"/>
    <n v="0.19771851489387732"/>
    <x v="2"/>
    <x v="0"/>
  </r>
  <r>
    <s v="O-10068"/>
    <d v="2022-06-20T00:00:00"/>
    <x v="2"/>
    <x v="3"/>
    <x v="4"/>
    <s v="Fitness Item 49"/>
    <n v="93.95"/>
    <n v="6"/>
    <n v="11.82"/>
    <x v="0"/>
    <n v="0.12581160191591273"/>
    <x v="2"/>
    <x v="0"/>
  </r>
  <r>
    <s v="O-10069"/>
    <d v="2022-06-21T00:00:00"/>
    <x v="2"/>
    <x v="1"/>
    <x v="13"/>
    <s v="Haircare Item 101"/>
    <n v="1054.04"/>
    <n v="5"/>
    <n v="124.26"/>
    <x v="1"/>
    <n v="0.11788926416454784"/>
    <x v="2"/>
    <x v="0"/>
  </r>
  <r>
    <s v="O-10070"/>
    <d v="2022-06-22T00:00:00"/>
    <x v="1"/>
    <x v="2"/>
    <x v="6"/>
    <s v="Kids Item 5"/>
    <n v="925.39"/>
    <n v="6"/>
    <n v="58.23"/>
    <x v="1"/>
    <n v="6.2924820886329003E-2"/>
    <x v="2"/>
    <x v="0"/>
  </r>
  <r>
    <s v="O-10071"/>
    <d v="2022-06-23T00:00:00"/>
    <x v="1"/>
    <x v="0"/>
    <x v="0"/>
    <s v="Cameras Item 47"/>
    <n v="1405.03"/>
    <n v="8"/>
    <n v="325.3"/>
    <x v="1"/>
    <n v="0.23152530550949091"/>
    <x v="2"/>
    <x v="0"/>
  </r>
  <r>
    <s v="O-10072"/>
    <d v="2022-06-24T00:00:00"/>
    <x v="2"/>
    <x v="2"/>
    <x v="2"/>
    <s v="Women Item 114"/>
    <n v="1042.27"/>
    <n v="3"/>
    <n v="259.31"/>
    <x v="0"/>
    <n v="0.24879349880549187"/>
    <x v="2"/>
    <x v="0"/>
  </r>
  <r>
    <s v="O-10073"/>
    <d v="2022-06-25T00:00:00"/>
    <x v="2"/>
    <x v="0"/>
    <x v="7"/>
    <s v="Accessories Item 58"/>
    <n v="175.34"/>
    <n v="5"/>
    <n v="16.850000000000001"/>
    <x v="0"/>
    <n v="9.6099007642294981E-2"/>
    <x v="2"/>
    <x v="0"/>
  </r>
  <r>
    <s v="O-10074"/>
    <d v="2022-06-26T00:00:00"/>
    <x v="2"/>
    <x v="0"/>
    <x v="0"/>
    <s v="Cameras Item 137"/>
    <n v="1383.23"/>
    <n v="1"/>
    <n v="129.09"/>
    <x v="1"/>
    <n v="9.3325043557470566E-2"/>
    <x v="2"/>
    <x v="0"/>
  </r>
  <r>
    <s v="O-10075"/>
    <d v="2022-06-27T00:00:00"/>
    <x v="3"/>
    <x v="3"/>
    <x v="5"/>
    <s v="Outdoor Item 34"/>
    <n v="494.78"/>
    <n v="6"/>
    <n v="113.13"/>
    <x v="2"/>
    <n v="0.22864707546788471"/>
    <x v="2"/>
    <x v="0"/>
  </r>
  <r>
    <s v="O-10076"/>
    <d v="2022-06-28T00:00:00"/>
    <x v="1"/>
    <x v="0"/>
    <x v="11"/>
    <s v="Laptops Item 117"/>
    <n v="1283.78"/>
    <n v="7"/>
    <n v="275.08999999999997"/>
    <x v="2"/>
    <n v="0.21428126314477558"/>
    <x v="2"/>
    <x v="0"/>
  </r>
  <r>
    <s v="O-10077"/>
    <d v="2022-06-29T00:00:00"/>
    <x v="2"/>
    <x v="1"/>
    <x v="13"/>
    <s v="Haircare Item 22"/>
    <n v="1465.48"/>
    <n v="3"/>
    <n v="164.04"/>
    <x v="2"/>
    <n v="0.11193602096241503"/>
    <x v="2"/>
    <x v="0"/>
  </r>
  <r>
    <s v="O-10078"/>
    <d v="2022-06-30T00:00:00"/>
    <x v="2"/>
    <x v="0"/>
    <x v="11"/>
    <s v="Laptops Item 179"/>
    <n v="1520.54"/>
    <n v="9"/>
    <n v="205.99"/>
    <x v="0"/>
    <n v="0.13547160877056835"/>
    <x v="2"/>
    <x v="0"/>
  </r>
  <r>
    <s v="O-10079"/>
    <d v="2022-07-01T00:00:00"/>
    <x v="1"/>
    <x v="1"/>
    <x v="8"/>
    <s v="Skincare Item 69"/>
    <n v="206.43"/>
    <n v="4"/>
    <n v="19.37"/>
    <x v="2"/>
    <n v="9.3833260669476337E-2"/>
    <x v="3"/>
    <x v="0"/>
  </r>
  <r>
    <s v="O-10080"/>
    <d v="2022-07-02T00:00:00"/>
    <x v="3"/>
    <x v="3"/>
    <x v="5"/>
    <s v="Outdoor Item 176"/>
    <n v="1617.69"/>
    <n v="4"/>
    <n v="150.93"/>
    <x v="1"/>
    <n v="9.3299705135100053E-2"/>
    <x v="3"/>
    <x v="0"/>
  </r>
  <r>
    <s v="O-10081"/>
    <d v="2022-07-03T00:00:00"/>
    <x v="3"/>
    <x v="4"/>
    <x v="15"/>
    <s v="Appliances Item 23"/>
    <n v="115.16"/>
    <n v="6"/>
    <n v="24.04"/>
    <x v="2"/>
    <n v="0.20875303924973948"/>
    <x v="3"/>
    <x v="0"/>
  </r>
  <r>
    <s v="O-10082"/>
    <d v="2022-07-04T00:00:00"/>
    <x v="1"/>
    <x v="0"/>
    <x v="0"/>
    <s v="Cameras Item 138"/>
    <n v="1259.2"/>
    <n v="1"/>
    <n v="232.76"/>
    <x v="0"/>
    <n v="0.18484752223634052"/>
    <x v="3"/>
    <x v="0"/>
  </r>
  <r>
    <s v="O-10083"/>
    <d v="2022-07-05T00:00:00"/>
    <x v="3"/>
    <x v="3"/>
    <x v="14"/>
    <s v="Equipment Item 16"/>
    <n v="159.72999999999999"/>
    <n v="7"/>
    <n v="45.69"/>
    <x v="1"/>
    <n v="0.28604520127715521"/>
    <x v="3"/>
    <x v="0"/>
  </r>
  <r>
    <s v="O-10084"/>
    <d v="2022-07-06T00:00:00"/>
    <x v="2"/>
    <x v="4"/>
    <x v="12"/>
    <s v="Decor Item 84"/>
    <n v="1159.44"/>
    <n v="2"/>
    <n v="224.17"/>
    <x v="1"/>
    <n v="0.19334333816325119"/>
    <x v="3"/>
    <x v="0"/>
  </r>
  <r>
    <s v="O-10085"/>
    <d v="2022-07-07T00:00:00"/>
    <x v="0"/>
    <x v="0"/>
    <x v="7"/>
    <s v="Accessories Item 161"/>
    <n v="1626.18"/>
    <n v="5"/>
    <n v="335.78"/>
    <x v="1"/>
    <n v="0.20648390707055797"/>
    <x v="3"/>
    <x v="0"/>
  </r>
  <r>
    <s v="O-10086"/>
    <d v="2022-07-08T00:00:00"/>
    <x v="0"/>
    <x v="4"/>
    <x v="10"/>
    <s v="Furniture Item 161"/>
    <n v="1309.94"/>
    <n v="2"/>
    <n v="78.260000000000005"/>
    <x v="2"/>
    <n v="5.9743194344779149E-2"/>
    <x v="3"/>
    <x v="0"/>
  </r>
  <r>
    <s v="O-10087"/>
    <d v="2022-07-09T00:00:00"/>
    <x v="3"/>
    <x v="1"/>
    <x v="8"/>
    <s v="Skincare Item 81"/>
    <n v="1318.33"/>
    <n v="2"/>
    <n v="151.84"/>
    <x v="0"/>
    <n v="0.11517601814416725"/>
    <x v="3"/>
    <x v="0"/>
  </r>
  <r>
    <s v="O-10088"/>
    <d v="2022-07-10T00:00:00"/>
    <x v="0"/>
    <x v="1"/>
    <x v="8"/>
    <s v="Skincare Item 58"/>
    <n v="1399.54"/>
    <n v="8"/>
    <n v="327.17"/>
    <x v="0"/>
    <n v="0.23376966717635797"/>
    <x v="3"/>
    <x v="0"/>
  </r>
  <r>
    <s v="O-10089"/>
    <d v="2022-07-11T00:00:00"/>
    <x v="3"/>
    <x v="0"/>
    <x v="11"/>
    <s v="Laptops Item 164"/>
    <n v="371.33"/>
    <n v="9"/>
    <n v="71.34"/>
    <x v="2"/>
    <n v="0.1921202165189993"/>
    <x v="3"/>
    <x v="0"/>
  </r>
  <r>
    <s v="O-10090"/>
    <d v="2022-07-12T00:00:00"/>
    <x v="2"/>
    <x v="4"/>
    <x v="10"/>
    <s v="Furniture Item 99"/>
    <n v="836.98"/>
    <n v="2"/>
    <n v="94.16"/>
    <x v="2"/>
    <n v="0.11249970130708022"/>
    <x v="3"/>
    <x v="0"/>
  </r>
  <r>
    <s v="O-10091"/>
    <d v="2022-07-13T00:00:00"/>
    <x v="0"/>
    <x v="3"/>
    <x v="14"/>
    <s v="Equipment Item 152"/>
    <n v="1736.89"/>
    <n v="5"/>
    <n v="190.45"/>
    <x v="2"/>
    <n v="0.10965000662102953"/>
    <x v="3"/>
    <x v="0"/>
  </r>
  <r>
    <s v="O-10092"/>
    <d v="2022-07-14T00:00:00"/>
    <x v="2"/>
    <x v="3"/>
    <x v="14"/>
    <s v="Equipment Item 13"/>
    <n v="1485.02"/>
    <n v="3"/>
    <n v="112.54"/>
    <x v="0"/>
    <n v="7.5783491131432582E-2"/>
    <x v="3"/>
    <x v="0"/>
  </r>
  <r>
    <s v="O-10093"/>
    <d v="2022-07-15T00:00:00"/>
    <x v="0"/>
    <x v="3"/>
    <x v="4"/>
    <s v="Fitness Item 113"/>
    <n v="1020.4"/>
    <n v="9"/>
    <n v="132.66"/>
    <x v="1"/>
    <n v="0.13000784006272051"/>
    <x v="3"/>
    <x v="0"/>
  </r>
  <r>
    <s v="O-10094"/>
    <d v="2022-07-16T00:00:00"/>
    <x v="3"/>
    <x v="1"/>
    <x v="1"/>
    <s v="Makeup Item 19"/>
    <n v="790.62"/>
    <n v="9"/>
    <n v="206.97"/>
    <x v="0"/>
    <n v="0.26178189269181151"/>
    <x v="3"/>
    <x v="0"/>
  </r>
  <r>
    <s v="O-10095"/>
    <d v="2022-07-17T00:00:00"/>
    <x v="2"/>
    <x v="4"/>
    <x v="15"/>
    <s v="Appliances Item 199"/>
    <n v="1914.47"/>
    <n v="4"/>
    <n v="370.18"/>
    <x v="0"/>
    <n v="0.19335899752934232"/>
    <x v="3"/>
    <x v="0"/>
  </r>
  <r>
    <s v="O-10096"/>
    <d v="2022-07-18T00:00:00"/>
    <x v="3"/>
    <x v="1"/>
    <x v="13"/>
    <s v="Haircare Item 144"/>
    <n v="907.92"/>
    <n v="3"/>
    <n v="182.14"/>
    <x v="1"/>
    <n v="0.20061238875671863"/>
    <x v="3"/>
    <x v="0"/>
  </r>
  <r>
    <s v="O-10097"/>
    <d v="2022-07-19T00:00:00"/>
    <x v="3"/>
    <x v="3"/>
    <x v="14"/>
    <s v="Equipment Item 53"/>
    <n v="1587.33"/>
    <n v="9"/>
    <n v="124.39"/>
    <x v="0"/>
    <n v="7.8364297279078704E-2"/>
    <x v="3"/>
    <x v="0"/>
  </r>
  <r>
    <s v="O-10098"/>
    <d v="2022-07-20T00:00:00"/>
    <x v="2"/>
    <x v="4"/>
    <x v="15"/>
    <s v="Appliances Item 42"/>
    <n v="1949.01"/>
    <n v="5"/>
    <n v="456.57"/>
    <x v="2"/>
    <n v="0.23425739221450889"/>
    <x v="3"/>
    <x v="0"/>
  </r>
  <r>
    <s v="O-10099"/>
    <d v="2022-07-21T00:00:00"/>
    <x v="1"/>
    <x v="1"/>
    <x v="1"/>
    <s v="Makeup Item 75"/>
    <n v="251.79"/>
    <n v="9"/>
    <n v="60.52"/>
    <x v="1"/>
    <n v="0.24035902934985506"/>
    <x v="3"/>
    <x v="0"/>
  </r>
  <r>
    <s v="O-10100"/>
    <d v="2022-07-22T00:00:00"/>
    <x v="1"/>
    <x v="3"/>
    <x v="4"/>
    <s v="Fitness Item 145"/>
    <n v="220.22"/>
    <n v="7"/>
    <n v="34.47"/>
    <x v="2"/>
    <n v="0.15652529288892925"/>
    <x v="3"/>
    <x v="0"/>
  </r>
  <r>
    <s v="O-10101"/>
    <d v="2022-07-23T00:00:00"/>
    <x v="2"/>
    <x v="1"/>
    <x v="13"/>
    <s v="Haircare Item 170"/>
    <n v="805.37"/>
    <n v="2"/>
    <n v="56.65"/>
    <x v="0"/>
    <n v="7.0340340464631168E-2"/>
    <x v="3"/>
    <x v="0"/>
  </r>
  <r>
    <s v="O-10102"/>
    <d v="2022-07-24T00:00:00"/>
    <x v="1"/>
    <x v="4"/>
    <x v="10"/>
    <s v="Furniture Item 166"/>
    <n v="1973.55"/>
    <n v="1"/>
    <n v="533.04"/>
    <x v="1"/>
    <n v="0.27009196625370524"/>
    <x v="3"/>
    <x v="0"/>
  </r>
  <r>
    <s v="O-10103"/>
    <d v="2022-07-25T00:00:00"/>
    <x v="1"/>
    <x v="3"/>
    <x v="5"/>
    <s v="Outdoor Item 71"/>
    <n v="1972.28"/>
    <n v="4"/>
    <n v="271.3"/>
    <x v="1"/>
    <n v="0.13755653355507333"/>
    <x v="3"/>
    <x v="0"/>
  </r>
  <r>
    <s v="O-10104"/>
    <d v="2022-07-26T00:00:00"/>
    <x v="2"/>
    <x v="0"/>
    <x v="9"/>
    <s v="Phones Item 159"/>
    <n v="973.7"/>
    <n v="6"/>
    <n v="220.32"/>
    <x v="0"/>
    <n v="0.22627092533634588"/>
    <x v="3"/>
    <x v="0"/>
  </r>
  <r>
    <s v="O-10105"/>
    <d v="2022-07-27T00:00:00"/>
    <x v="0"/>
    <x v="3"/>
    <x v="14"/>
    <s v="Equipment Item 90"/>
    <n v="673.9"/>
    <n v="3"/>
    <n v="76.430000000000007"/>
    <x v="1"/>
    <n v="0.11341445318296485"/>
    <x v="3"/>
    <x v="0"/>
  </r>
  <r>
    <s v="O-10106"/>
    <d v="2022-07-28T00:00:00"/>
    <x v="2"/>
    <x v="4"/>
    <x v="12"/>
    <s v="Decor Item 126"/>
    <n v="131.47999999999999"/>
    <n v="8"/>
    <n v="10.44"/>
    <x v="2"/>
    <n v="7.9403711591116519E-2"/>
    <x v="3"/>
    <x v="0"/>
  </r>
  <r>
    <s v="O-10107"/>
    <d v="2022-07-29T00:00:00"/>
    <x v="1"/>
    <x v="4"/>
    <x v="10"/>
    <s v="Furniture Item 167"/>
    <n v="1497.17"/>
    <n v="9"/>
    <n v="215.17"/>
    <x v="1"/>
    <n v="0.14371781427626787"/>
    <x v="3"/>
    <x v="0"/>
  </r>
  <r>
    <s v="O-10108"/>
    <d v="2022-07-30T00:00:00"/>
    <x v="3"/>
    <x v="2"/>
    <x v="6"/>
    <s v="Kids Item 153"/>
    <n v="1739.83"/>
    <n v="6"/>
    <n v="276.77999999999997"/>
    <x v="2"/>
    <n v="0.15908450825655379"/>
    <x v="3"/>
    <x v="0"/>
  </r>
  <r>
    <s v="O-10109"/>
    <d v="2022-07-31T00:00:00"/>
    <x v="3"/>
    <x v="0"/>
    <x v="9"/>
    <s v="Phones Item 44"/>
    <n v="1956.24"/>
    <n v="5"/>
    <n v="119.04"/>
    <x v="2"/>
    <n v="6.0851429272481904E-2"/>
    <x v="3"/>
    <x v="0"/>
  </r>
  <r>
    <s v="O-10110"/>
    <d v="2022-08-01T00:00:00"/>
    <x v="2"/>
    <x v="1"/>
    <x v="8"/>
    <s v="Skincare Item 164"/>
    <n v="1116.6300000000001"/>
    <n v="4"/>
    <n v="76.89"/>
    <x v="0"/>
    <n v="6.8858977458961329E-2"/>
    <x v="4"/>
    <x v="0"/>
  </r>
  <r>
    <s v="O-10111"/>
    <d v="2022-08-02T00:00:00"/>
    <x v="3"/>
    <x v="2"/>
    <x v="3"/>
    <s v="Men Item 49"/>
    <n v="1397.58"/>
    <n v="1"/>
    <n v="289.14"/>
    <x v="2"/>
    <n v="0.20688618898381489"/>
    <x v="4"/>
    <x v="0"/>
  </r>
  <r>
    <s v="O-10112"/>
    <d v="2022-08-03T00:00:00"/>
    <x v="1"/>
    <x v="0"/>
    <x v="0"/>
    <s v="Cameras Item 144"/>
    <n v="1479.46"/>
    <n v="8"/>
    <n v="219.89"/>
    <x v="1"/>
    <n v="0.14862855366147107"/>
    <x v="4"/>
    <x v="0"/>
  </r>
  <r>
    <s v="O-10113"/>
    <d v="2022-08-04T00:00:00"/>
    <x v="1"/>
    <x v="4"/>
    <x v="15"/>
    <s v="Appliances Item 156"/>
    <n v="684.61"/>
    <n v="4"/>
    <n v="113.59"/>
    <x v="0"/>
    <n v="0.16591928251121077"/>
    <x v="4"/>
    <x v="0"/>
  </r>
  <r>
    <s v="O-10114"/>
    <d v="2022-08-05T00:00:00"/>
    <x v="0"/>
    <x v="1"/>
    <x v="13"/>
    <s v="Haircare Item 60"/>
    <n v="1175.6400000000001"/>
    <n v="5"/>
    <n v="345.17"/>
    <x v="1"/>
    <n v="0.29360178285869826"/>
    <x v="4"/>
    <x v="0"/>
  </r>
  <r>
    <s v="O-10115"/>
    <d v="2022-08-06T00:00:00"/>
    <x v="3"/>
    <x v="3"/>
    <x v="4"/>
    <s v="Fitness Item 155"/>
    <n v="1402.36"/>
    <n v="1"/>
    <n v="168.2"/>
    <x v="0"/>
    <n v="0.11994067143957329"/>
    <x v="4"/>
    <x v="0"/>
  </r>
  <r>
    <s v="O-10116"/>
    <d v="2022-08-07T00:00:00"/>
    <x v="0"/>
    <x v="3"/>
    <x v="4"/>
    <s v="Fitness Item 157"/>
    <n v="283.70999999999998"/>
    <n v="3"/>
    <n v="72.53"/>
    <x v="0"/>
    <n v="0.25564837333897289"/>
    <x v="4"/>
    <x v="0"/>
  </r>
  <r>
    <s v="O-10117"/>
    <d v="2022-08-08T00:00:00"/>
    <x v="2"/>
    <x v="3"/>
    <x v="5"/>
    <s v="Outdoor Item 115"/>
    <n v="1456.92"/>
    <n v="9"/>
    <n v="225.18"/>
    <x v="2"/>
    <n v="0.15455893254262415"/>
    <x v="4"/>
    <x v="0"/>
  </r>
  <r>
    <s v="O-10118"/>
    <d v="2022-08-09T00:00:00"/>
    <x v="2"/>
    <x v="0"/>
    <x v="9"/>
    <s v="Phones Item 109"/>
    <n v="346.37"/>
    <n v="8"/>
    <n v="49.92"/>
    <x v="2"/>
    <n v="0.14412333631665561"/>
    <x v="4"/>
    <x v="0"/>
  </r>
  <r>
    <s v="O-10119"/>
    <d v="2022-08-10T00:00:00"/>
    <x v="3"/>
    <x v="2"/>
    <x v="3"/>
    <s v="Men Item 146"/>
    <n v="1974.81"/>
    <n v="1"/>
    <n v="284.74"/>
    <x v="0"/>
    <n v="0.14418602295917077"/>
    <x v="4"/>
    <x v="0"/>
  </r>
  <r>
    <s v="O-10120"/>
    <d v="2022-08-11T00:00:00"/>
    <x v="2"/>
    <x v="1"/>
    <x v="1"/>
    <s v="Makeup Item 63"/>
    <n v="798.12"/>
    <n v="1"/>
    <n v="207.18"/>
    <x v="2"/>
    <n v="0.25958502480829954"/>
    <x v="4"/>
    <x v="0"/>
  </r>
  <r>
    <s v="O-10121"/>
    <d v="2022-08-12T00:00:00"/>
    <x v="2"/>
    <x v="3"/>
    <x v="5"/>
    <s v="Outdoor Item 105"/>
    <n v="841.34"/>
    <n v="1"/>
    <n v="44.94"/>
    <x v="0"/>
    <n v="5.3414790691040478E-2"/>
    <x v="4"/>
    <x v="0"/>
  </r>
  <r>
    <s v="O-10122"/>
    <d v="2022-08-13T00:00:00"/>
    <x v="2"/>
    <x v="3"/>
    <x v="5"/>
    <s v="Outdoor Item 197"/>
    <n v="1999.44"/>
    <n v="6"/>
    <n v="556.42999999999995"/>
    <x v="1"/>
    <n v="0.27829292201816508"/>
    <x v="4"/>
    <x v="0"/>
  </r>
  <r>
    <s v="O-10123"/>
    <d v="2022-08-14T00:00:00"/>
    <x v="3"/>
    <x v="0"/>
    <x v="9"/>
    <s v="Phones Item 53"/>
    <n v="1890.64"/>
    <n v="3"/>
    <n v="211.44"/>
    <x v="0"/>
    <n v="0.11183514577074428"/>
    <x v="4"/>
    <x v="0"/>
  </r>
  <r>
    <s v="O-10124"/>
    <d v="2022-08-15T00:00:00"/>
    <x v="2"/>
    <x v="1"/>
    <x v="8"/>
    <s v="Skincare Item 110"/>
    <n v="517.86"/>
    <n v="4"/>
    <n v="55.49"/>
    <x v="1"/>
    <n v="0.10715251226200131"/>
    <x v="4"/>
    <x v="0"/>
  </r>
  <r>
    <s v="O-10125"/>
    <d v="2022-08-16T00:00:00"/>
    <x v="2"/>
    <x v="2"/>
    <x v="2"/>
    <s v="Women Item 32"/>
    <n v="112.86"/>
    <n v="8"/>
    <n v="6.27"/>
    <x v="0"/>
    <n v="5.5555555555555552E-2"/>
    <x v="4"/>
    <x v="0"/>
  </r>
  <r>
    <s v="O-10126"/>
    <d v="2022-08-17T00:00:00"/>
    <x v="3"/>
    <x v="4"/>
    <x v="10"/>
    <s v="Furniture Item 162"/>
    <n v="962.9"/>
    <n v="3"/>
    <n v="173.36"/>
    <x v="0"/>
    <n v="0.18003946411880778"/>
    <x v="4"/>
    <x v="0"/>
  </r>
  <r>
    <s v="O-10127"/>
    <d v="2022-08-18T00:00:00"/>
    <x v="1"/>
    <x v="2"/>
    <x v="2"/>
    <s v="Women Item 193"/>
    <n v="1112.78"/>
    <n v="5"/>
    <n v="80.23"/>
    <x v="0"/>
    <n v="7.2098707740973059E-2"/>
    <x v="4"/>
    <x v="0"/>
  </r>
  <r>
    <s v="O-10128"/>
    <d v="2022-08-19T00:00:00"/>
    <x v="0"/>
    <x v="4"/>
    <x v="12"/>
    <s v="Decor Item 112"/>
    <n v="970.49"/>
    <n v="7"/>
    <n v="231.74"/>
    <x v="0"/>
    <n v="0.238786592339952"/>
    <x v="4"/>
    <x v="0"/>
  </r>
  <r>
    <s v="O-10129"/>
    <d v="2022-08-20T00:00:00"/>
    <x v="2"/>
    <x v="2"/>
    <x v="6"/>
    <s v="Kids Item 75"/>
    <n v="441.67"/>
    <n v="6"/>
    <n v="90.24"/>
    <x v="0"/>
    <n v="0.20431543912876127"/>
    <x v="4"/>
    <x v="0"/>
  </r>
  <r>
    <s v="O-10130"/>
    <d v="2022-08-21T00:00:00"/>
    <x v="3"/>
    <x v="2"/>
    <x v="6"/>
    <s v="Kids Item 98"/>
    <n v="1280.56"/>
    <n v="3"/>
    <n v="353.49"/>
    <x v="0"/>
    <n v="0.27604329355906793"/>
    <x v="4"/>
    <x v="0"/>
  </r>
  <r>
    <s v="O-10131"/>
    <d v="2022-08-22T00:00:00"/>
    <x v="2"/>
    <x v="1"/>
    <x v="1"/>
    <s v="Makeup Item 166"/>
    <n v="912.8"/>
    <n v="7"/>
    <n v="165.13"/>
    <x v="2"/>
    <n v="0.18090490797546013"/>
    <x v="4"/>
    <x v="0"/>
  </r>
  <r>
    <s v="O-10132"/>
    <d v="2022-08-23T00:00:00"/>
    <x v="0"/>
    <x v="3"/>
    <x v="14"/>
    <s v="Equipment Item 133"/>
    <n v="1597.01"/>
    <n v="8"/>
    <n v="416.06"/>
    <x v="2"/>
    <n v="0.26052435488819731"/>
    <x v="4"/>
    <x v="0"/>
  </r>
  <r>
    <s v="O-10133"/>
    <d v="2022-08-24T00:00:00"/>
    <x v="3"/>
    <x v="4"/>
    <x v="12"/>
    <s v="Decor Item 84"/>
    <n v="929.09"/>
    <n v="2"/>
    <n v="190.65"/>
    <x v="1"/>
    <n v="0.20520078786769849"/>
    <x v="4"/>
    <x v="0"/>
  </r>
  <r>
    <s v="O-10134"/>
    <d v="2022-08-25T00:00:00"/>
    <x v="0"/>
    <x v="3"/>
    <x v="4"/>
    <s v="Fitness Item 126"/>
    <n v="1274.1300000000001"/>
    <n v="3"/>
    <n v="234.84"/>
    <x v="1"/>
    <n v="0.18431400249582067"/>
    <x v="4"/>
    <x v="0"/>
  </r>
  <r>
    <s v="O-10135"/>
    <d v="2022-08-26T00:00:00"/>
    <x v="0"/>
    <x v="0"/>
    <x v="0"/>
    <s v="Cameras Item 183"/>
    <n v="1177.8399999999999"/>
    <n v="6"/>
    <n v="264.33"/>
    <x v="2"/>
    <n v="0.22441927596277933"/>
    <x v="4"/>
    <x v="0"/>
  </r>
  <r>
    <s v="O-10136"/>
    <d v="2022-08-27T00:00:00"/>
    <x v="2"/>
    <x v="1"/>
    <x v="13"/>
    <s v="Haircare Item 132"/>
    <n v="704.42"/>
    <n v="3"/>
    <n v="189.19"/>
    <x v="2"/>
    <n v="0.26857556571363678"/>
    <x v="4"/>
    <x v="0"/>
  </r>
  <r>
    <s v="O-10137"/>
    <d v="2022-08-28T00:00:00"/>
    <x v="1"/>
    <x v="2"/>
    <x v="6"/>
    <s v="Kids Item 93"/>
    <n v="1946.76"/>
    <n v="3"/>
    <n v="117.23"/>
    <x v="1"/>
    <n v="6.0218003246419696E-2"/>
    <x v="4"/>
    <x v="0"/>
  </r>
  <r>
    <s v="O-10138"/>
    <d v="2022-08-29T00:00:00"/>
    <x v="0"/>
    <x v="0"/>
    <x v="0"/>
    <s v="Cameras Item 92"/>
    <n v="708.29"/>
    <n v="6"/>
    <n v="51.12"/>
    <x v="1"/>
    <n v="7.2173827104716995E-2"/>
    <x v="4"/>
    <x v="0"/>
  </r>
  <r>
    <s v="O-10139"/>
    <d v="2022-08-30T00:00:00"/>
    <x v="1"/>
    <x v="1"/>
    <x v="8"/>
    <s v="Skincare Item 133"/>
    <n v="932.34"/>
    <n v="2"/>
    <n v="76.63"/>
    <x v="0"/>
    <n v="8.219104618486818E-2"/>
    <x v="4"/>
    <x v="0"/>
  </r>
  <r>
    <s v="O-10140"/>
    <d v="2022-08-31T00:00:00"/>
    <x v="0"/>
    <x v="1"/>
    <x v="1"/>
    <s v="Makeup Item 45"/>
    <n v="656.73"/>
    <n v="9"/>
    <n v="111.83"/>
    <x v="0"/>
    <n v="0.17028306914561539"/>
    <x v="4"/>
    <x v="0"/>
  </r>
  <r>
    <s v="O-10141"/>
    <d v="2022-09-01T00:00:00"/>
    <x v="3"/>
    <x v="4"/>
    <x v="12"/>
    <s v="Decor Item 56"/>
    <n v="1749.69"/>
    <n v="1"/>
    <n v="208.6"/>
    <x v="1"/>
    <n v="0.11922111916968148"/>
    <x v="5"/>
    <x v="0"/>
  </r>
  <r>
    <s v="O-10142"/>
    <d v="2022-09-02T00:00:00"/>
    <x v="2"/>
    <x v="1"/>
    <x v="8"/>
    <s v="Skincare Item 8"/>
    <n v="1501.55"/>
    <n v="4"/>
    <n v="153.66"/>
    <x v="2"/>
    <n v="0.1023342546035763"/>
    <x v="5"/>
    <x v="0"/>
  </r>
  <r>
    <s v="O-10143"/>
    <d v="2022-09-03T00:00:00"/>
    <x v="1"/>
    <x v="2"/>
    <x v="2"/>
    <s v="Women Item 56"/>
    <n v="979.36"/>
    <n v="7"/>
    <n v="179.04"/>
    <x v="1"/>
    <n v="0.1828132658062408"/>
    <x v="5"/>
    <x v="0"/>
  </r>
  <r>
    <s v="O-10144"/>
    <d v="2022-09-04T00:00:00"/>
    <x v="2"/>
    <x v="1"/>
    <x v="8"/>
    <s v="Skincare Item 109"/>
    <n v="143.44"/>
    <n v="8"/>
    <n v="11.95"/>
    <x v="1"/>
    <n v="8.3310094813162289E-2"/>
    <x v="5"/>
    <x v="0"/>
  </r>
  <r>
    <s v="O-10145"/>
    <d v="2022-09-05T00:00:00"/>
    <x v="1"/>
    <x v="4"/>
    <x v="10"/>
    <s v="Furniture Item 111"/>
    <n v="1691.99"/>
    <n v="2"/>
    <n v="273.85000000000002"/>
    <x v="1"/>
    <n v="0.16185083836192887"/>
    <x v="5"/>
    <x v="0"/>
  </r>
  <r>
    <s v="O-10146"/>
    <d v="2022-09-06T00:00:00"/>
    <x v="0"/>
    <x v="0"/>
    <x v="11"/>
    <s v="Laptops Item 192"/>
    <n v="553.1"/>
    <n v="5"/>
    <n v="52.86"/>
    <x v="1"/>
    <n v="9.5570421261977942E-2"/>
    <x v="5"/>
    <x v="0"/>
  </r>
  <r>
    <s v="O-10147"/>
    <d v="2022-09-07T00:00:00"/>
    <x v="0"/>
    <x v="2"/>
    <x v="6"/>
    <s v="Kids Item 185"/>
    <n v="1684.61"/>
    <n v="6"/>
    <n v="222.16"/>
    <x v="0"/>
    <n v="0.13187622060892432"/>
    <x v="5"/>
    <x v="0"/>
  </r>
  <r>
    <s v="O-10148"/>
    <d v="2022-09-08T00:00:00"/>
    <x v="1"/>
    <x v="1"/>
    <x v="13"/>
    <s v="Haircare Item 145"/>
    <n v="699"/>
    <n v="9"/>
    <n v="153.62"/>
    <x v="2"/>
    <n v="0.21977110157367669"/>
    <x v="5"/>
    <x v="0"/>
  </r>
  <r>
    <s v="O-10149"/>
    <d v="2022-09-09T00:00:00"/>
    <x v="1"/>
    <x v="3"/>
    <x v="5"/>
    <s v="Outdoor Item 109"/>
    <n v="969.57"/>
    <n v="4"/>
    <n v="178.67"/>
    <x v="2"/>
    <n v="0.18427756634384312"/>
    <x v="5"/>
    <x v="0"/>
  </r>
  <r>
    <s v="O-10150"/>
    <d v="2022-09-10T00:00:00"/>
    <x v="1"/>
    <x v="1"/>
    <x v="1"/>
    <s v="Makeup Item 111"/>
    <n v="1495.97"/>
    <n v="1"/>
    <n v="285.89999999999998"/>
    <x v="0"/>
    <n v="0.19111345815758335"/>
    <x v="5"/>
    <x v="0"/>
  </r>
  <r>
    <s v="O-10151"/>
    <d v="2022-09-11T00:00:00"/>
    <x v="1"/>
    <x v="0"/>
    <x v="7"/>
    <s v="Accessories Item 169"/>
    <n v="688.14"/>
    <n v="4"/>
    <n v="145.53"/>
    <x v="0"/>
    <n v="0.21148312843316769"/>
    <x v="5"/>
    <x v="0"/>
  </r>
  <r>
    <s v="O-10152"/>
    <d v="2022-09-12T00:00:00"/>
    <x v="1"/>
    <x v="1"/>
    <x v="1"/>
    <s v="Makeup Item 184"/>
    <n v="1006.53"/>
    <n v="6"/>
    <n v="202.76"/>
    <x v="2"/>
    <n v="0.20144456697763602"/>
    <x v="5"/>
    <x v="0"/>
  </r>
  <r>
    <s v="O-10153"/>
    <d v="2022-09-13T00:00:00"/>
    <x v="1"/>
    <x v="2"/>
    <x v="6"/>
    <s v="Kids Item 181"/>
    <n v="221.53"/>
    <n v="6"/>
    <n v="31.31"/>
    <x v="0"/>
    <n v="0.14133525933282173"/>
    <x v="5"/>
    <x v="0"/>
  </r>
  <r>
    <s v="O-10154"/>
    <d v="2022-09-14T00:00:00"/>
    <x v="3"/>
    <x v="0"/>
    <x v="0"/>
    <s v="Cameras Item 4"/>
    <n v="1704.62"/>
    <n v="8"/>
    <n v="467.39"/>
    <x v="2"/>
    <n v="0.27419014208445286"/>
    <x v="5"/>
    <x v="0"/>
  </r>
  <r>
    <s v="O-10155"/>
    <d v="2022-09-15T00:00:00"/>
    <x v="2"/>
    <x v="3"/>
    <x v="4"/>
    <s v="Fitness Item 31"/>
    <n v="832.59"/>
    <n v="4"/>
    <n v="249.21"/>
    <x v="2"/>
    <n v="0.29931899254134686"/>
    <x v="5"/>
    <x v="0"/>
  </r>
  <r>
    <s v="O-10156"/>
    <d v="2022-09-16T00:00:00"/>
    <x v="0"/>
    <x v="0"/>
    <x v="11"/>
    <s v="Laptops Item 66"/>
    <n v="1160.48"/>
    <n v="4"/>
    <n v="59.56"/>
    <x v="1"/>
    <n v="5.1323590238521989E-2"/>
    <x v="5"/>
    <x v="0"/>
  </r>
  <r>
    <s v="O-10157"/>
    <d v="2022-09-17T00:00:00"/>
    <x v="0"/>
    <x v="1"/>
    <x v="8"/>
    <s v="Skincare Item 113"/>
    <n v="991.68"/>
    <n v="6"/>
    <n v="215.35"/>
    <x v="0"/>
    <n v="0.21715674411100355"/>
    <x v="5"/>
    <x v="0"/>
  </r>
  <r>
    <s v="O-10158"/>
    <d v="2022-09-18T00:00:00"/>
    <x v="1"/>
    <x v="1"/>
    <x v="8"/>
    <s v="Skincare Item 194"/>
    <n v="1122.3900000000001"/>
    <n v="8"/>
    <n v="189.86"/>
    <x v="2"/>
    <n v="0.16915688842559182"/>
    <x v="5"/>
    <x v="0"/>
  </r>
  <r>
    <s v="O-10159"/>
    <d v="2022-09-19T00:00:00"/>
    <x v="2"/>
    <x v="1"/>
    <x v="13"/>
    <s v="Haircare Item 44"/>
    <n v="426.05"/>
    <n v="6"/>
    <n v="97.03"/>
    <x v="0"/>
    <n v="0.2277432226264523"/>
    <x v="5"/>
    <x v="0"/>
  </r>
  <r>
    <s v="O-10160"/>
    <d v="2022-09-20T00:00:00"/>
    <x v="2"/>
    <x v="3"/>
    <x v="14"/>
    <s v="Equipment Item 20"/>
    <n v="499.97"/>
    <n v="1"/>
    <n v="101.32"/>
    <x v="0"/>
    <n v="0.20265215912954776"/>
    <x v="5"/>
    <x v="0"/>
  </r>
  <r>
    <s v="O-10161"/>
    <d v="2022-09-21T00:00:00"/>
    <x v="2"/>
    <x v="0"/>
    <x v="11"/>
    <s v="Laptops Item 38"/>
    <n v="1170.8499999999999"/>
    <n v="4"/>
    <n v="152.4"/>
    <x v="0"/>
    <n v="0.13016184822991844"/>
    <x v="5"/>
    <x v="0"/>
  </r>
  <r>
    <s v="O-10162"/>
    <d v="2022-09-22T00:00:00"/>
    <x v="3"/>
    <x v="1"/>
    <x v="8"/>
    <s v="Skincare Item 161"/>
    <n v="751.08"/>
    <n v="8"/>
    <n v="62.79"/>
    <x v="0"/>
    <n v="8.3599616552164871E-2"/>
    <x v="5"/>
    <x v="0"/>
  </r>
  <r>
    <s v="O-10163"/>
    <d v="2022-09-23T00:00:00"/>
    <x v="3"/>
    <x v="2"/>
    <x v="2"/>
    <s v="Women Item 172"/>
    <n v="419.43"/>
    <n v="8"/>
    <n v="105.89"/>
    <x v="1"/>
    <n v="0.25246167417685905"/>
    <x v="5"/>
    <x v="0"/>
  </r>
  <r>
    <s v="O-10164"/>
    <d v="2022-09-24T00:00:00"/>
    <x v="1"/>
    <x v="2"/>
    <x v="6"/>
    <s v="Kids Item 63"/>
    <n v="1369.38"/>
    <n v="1"/>
    <n v="108.42"/>
    <x v="1"/>
    <n v="7.917451693467116E-2"/>
    <x v="5"/>
    <x v="0"/>
  </r>
  <r>
    <s v="O-10165"/>
    <d v="2022-09-25T00:00:00"/>
    <x v="1"/>
    <x v="0"/>
    <x v="7"/>
    <s v="Accessories Item 163"/>
    <n v="710.76"/>
    <n v="1"/>
    <n v="186.7"/>
    <x v="1"/>
    <n v="0.26267657155720636"/>
    <x v="5"/>
    <x v="0"/>
  </r>
  <r>
    <s v="O-10166"/>
    <d v="2022-09-26T00:00:00"/>
    <x v="2"/>
    <x v="2"/>
    <x v="6"/>
    <s v="Kids Item 178"/>
    <n v="266.11"/>
    <n v="8"/>
    <n v="79.23"/>
    <x v="1"/>
    <n v="0.29773401976626207"/>
    <x v="5"/>
    <x v="0"/>
  </r>
  <r>
    <s v="O-10167"/>
    <d v="2022-09-27T00:00:00"/>
    <x v="1"/>
    <x v="0"/>
    <x v="0"/>
    <s v="Cameras Item 35"/>
    <n v="1854.37"/>
    <n v="6"/>
    <n v="115.01"/>
    <x v="2"/>
    <n v="6.2021063757502555E-2"/>
    <x v="5"/>
    <x v="0"/>
  </r>
  <r>
    <s v="O-10168"/>
    <d v="2022-09-28T00:00:00"/>
    <x v="3"/>
    <x v="2"/>
    <x v="3"/>
    <s v="Men Item 72"/>
    <n v="1659.32"/>
    <n v="5"/>
    <n v="166.61"/>
    <x v="0"/>
    <n v="0.10040860111370924"/>
    <x v="5"/>
    <x v="0"/>
  </r>
  <r>
    <s v="O-10169"/>
    <d v="2022-09-29T00:00:00"/>
    <x v="1"/>
    <x v="0"/>
    <x v="11"/>
    <s v="Laptops Item 165"/>
    <n v="1632.86"/>
    <n v="4"/>
    <n v="210.72"/>
    <x v="0"/>
    <n v="0.12904964295775512"/>
    <x v="5"/>
    <x v="0"/>
  </r>
  <r>
    <s v="O-10170"/>
    <d v="2022-09-30T00:00:00"/>
    <x v="1"/>
    <x v="0"/>
    <x v="9"/>
    <s v="Phones Item 89"/>
    <n v="1372.3"/>
    <n v="8"/>
    <n v="219.27"/>
    <x v="0"/>
    <n v="0.15978284631640313"/>
    <x v="5"/>
    <x v="0"/>
  </r>
  <r>
    <s v="O-10171"/>
    <d v="2022-10-01T00:00:00"/>
    <x v="0"/>
    <x v="1"/>
    <x v="1"/>
    <s v="Makeup Item 32"/>
    <n v="936.11"/>
    <n v="6"/>
    <n v="173.13"/>
    <x v="0"/>
    <n v="0.18494621358601018"/>
    <x v="6"/>
    <x v="0"/>
  </r>
  <r>
    <s v="O-10172"/>
    <d v="2022-10-02T00:00:00"/>
    <x v="3"/>
    <x v="0"/>
    <x v="11"/>
    <s v="Laptops Item 143"/>
    <n v="1163.42"/>
    <n v="1"/>
    <n v="319.82"/>
    <x v="1"/>
    <n v="0.27489642605421943"/>
    <x v="6"/>
    <x v="0"/>
  </r>
  <r>
    <s v="O-10173"/>
    <d v="2022-10-03T00:00:00"/>
    <x v="0"/>
    <x v="0"/>
    <x v="7"/>
    <s v="Accessories Item 194"/>
    <n v="1096.23"/>
    <n v="8"/>
    <n v="117.58"/>
    <x v="1"/>
    <n v="0.10725851326820102"/>
    <x v="6"/>
    <x v="0"/>
  </r>
  <r>
    <s v="O-10174"/>
    <d v="2022-10-04T00:00:00"/>
    <x v="2"/>
    <x v="2"/>
    <x v="6"/>
    <s v="Kids Item 179"/>
    <n v="874.43"/>
    <n v="3"/>
    <n v="180.94"/>
    <x v="0"/>
    <n v="0.2069233672220761"/>
    <x v="6"/>
    <x v="0"/>
  </r>
  <r>
    <s v="O-10175"/>
    <d v="2022-10-05T00:00:00"/>
    <x v="0"/>
    <x v="4"/>
    <x v="15"/>
    <s v="Appliances Item 192"/>
    <n v="350.13"/>
    <n v="1"/>
    <n v="64.2"/>
    <x v="1"/>
    <n v="0.18336046611258677"/>
    <x v="6"/>
    <x v="0"/>
  </r>
  <r>
    <s v="O-10176"/>
    <d v="2022-10-06T00:00:00"/>
    <x v="3"/>
    <x v="2"/>
    <x v="6"/>
    <s v="Kids Item 155"/>
    <n v="1581.42"/>
    <n v="6"/>
    <n v="376.54"/>
    <x v="1"/>
    <n v="0.23810246487334169"/>
    <x v="6"/>
    <x v="0"/>
  </r>
  <r>
    <s v="O-10177"/>
    <d v="2022-10-07T00:00:00"/>
    <x v="0"/>
    <x v="3"/>
    <x v="4"/>
    <s v="Fitness Item 183"/>
    <n v="303.39"/>
    <n v="4"/>
    <n v="58.39"/>
    <x v="0"/>
    <n v="0.19245855169913315"/>
    <x v="6"/>
    <x v="0"/>
  </r>
  <r>
    <s v="O-10178"/>
    <d v="2022-10-08T00:00:00"/>
    <x v="0"/>
    <x v="4"/>
    <x v="15"/>
    <s v="Appliances Item 5"/>
    <n v="1756"/>
    <n v="1"/>
    <n v="132.97999999999999"/>
    <x v="0"/>
    <n v="7.5728929384965823E-2"/>
    <x v="6"/>
    <x v="0"/>
  </r>
  <r>
    <s v="O-10179"/>
    <d v="2022-10-09T00:00:00"/>
    <x v="1"/>
    <x v="0"/>
    <x v="9"/>
    <s v="Phones Item 47"/>
    <n v="1695.98"/>
    <n v="8"/>
    <n v="340.87"/>
    <x v="2"/>
    <n v="0.20098703994150874"/>
    <x v="6"/>
    <x v="0"/>
  </r>
  <r>
    <s v="O-10180"/>
    <d v="2022-10-10T00:00:00"/>
    <x v="2"/>
    <x v="0"/>
    <x v="0"/>
    <s v="Cameras Item 157"/>
    <n v="1088.92"/>
    <n v="4"/>
    <n v="251.06"/>
    <x v="1"/>
    <n v="0.23055871873048525"/>
    <x v="6"/>
    <x v="0"/>
  </r>
  <r>
    <s v="O-10181"/>
    <d v="2022-10-11T00:00:00"/>
    <x v="2"/>
    <x v="2"/>
    <x v="2"/>
    <s v="Women Item 155"/>
    <n v="1289.47"/>
    <n v="3"/>
    <n v="246.78"/>
    <x v="2"/>
    <n v="0.19138095496599378"/>
    <x v="6"/>
    <x v="0"/>
  </r>
  <r>
    <s v="O-10182"/>
    <d v="2022-10-12T00:00:00"/>
    <x v="0"/>
    <x v="0"/>
    <x v="11"/>
    <s v="Laptops Item 69"/>
    <n v="1657.06"/>
    <n v="8"/>
    <n v="324.52999999999997"/>
    <x v="2"/>
    <n v="0.19584686130858267"/>
    <x v="6"/>
    <x v="0"/>
  </r>
  <r>
    <s v="O-10183"/>
    <d v="2022-10-13T00:00:00"/>
    <x v="0"/>
    <x v="2"/>
    <x v="3"/>
    <s v="Men Item 23"/>
    <n v="934.77"/>
    <n v="8"/>
    <n v="164.96"/>
    <x v="1"/>
    <n v="0.17647121751874795"/>
    <x v="6"/>
    <x v="0"/>
  </r>
  <r>
    <s v="O-10184"/>
    <d v="2022-10-14T00:00:00"/>
    <x v="2"/>
    <x v="3"/>
    <x v="14"/>
    <s v="Equipment Item 104"/>
    <n v="1746.81"/>
    <n v="4"/>
    <n v="488.56"/>
    <x v="0"/>
    <n v="0.27968697225227701"/>
    <x v="6"/>
    <x v="0"/>
  </r>
  <r>
    <s v="O-10185"/>
    <d v="2022-10-15T00:00:00"/>
    <x v="1"/>
    <x v="3"/>
    <x v="4"/>
    <s v="Fitness Item 120"/>
    <n v="65.58"/>
    <n v="1"/>
    <n v="12.73"/>
    <x v="0"/>
    <n v="0.1941140591643794"/>
    <x v="6"/>
    <x v="0"/>
  </r>
  <r>
    <s v="O-10186"/>
    <d v="2022-10-16T00:00:00"/>
    <x v="3"/>
    <x v="2"/>
    <x v="6"/>
    <s v="Kids Item 137"/>
    <n v="859.78"/>
    <n v="8"/>
    <n v="223.64"/>
    <x v="0"/>
    <n v="0.26011305217613806"/>
    <x v="6"/>
    <x v="0"/>
  </r>
  <r>
    <s v="O-10187"/>
    <d v="2022-10-17T00:00:00"/>
    <x v="3"/>
    <x v="3"/>
    <x v="5"/>
    <s v="Outdoor Item 1"/>
    <n v="244.21"/>
    <n v="5"/>
    <n v="22.32"/>
    <x v="1"/>
    <n v="9.1396748699889438E-2"/>
    <x v="6"/>
    <x v="0"/>
  </r>
  <r>
    <s v="O-10188"/>
    <d v="2022-10-18T00:00:00"/>
    <x v="0"/>
    <x v="1"/>
    <x v="8"/>
    <s v="Skincare Item 182"/>
    <n v="1678.23"/>
    <n v="1"/>
    <n v="448.88"/>
    <x v="0"/>
    <n v="0.26747227733981632"/>
    <x v="6"/>
    <x v="0"/>
  </r>
  <r>
    <s v="O-10189"/>
    <d v="2022-10-19T00:00:00"/>
    <x v="2"/>
    <x v="0"/>
    <x v="0"/>
    <s v="Cameras Item 115"/>
    <n v="1190.73"/>
    <n v="5"/>
    <n v="172.45"/>
    <x v="2"/>
    <n v="0.14482712285740679"/>
    <x v="6"/>
    <x v="0"/>
  </r>
  <r>
    <s v="O-10190"/>
    <d v="2022-10-20T00:00:00"/>
    <x v="0"/>
    <x v="3"/>
    <x v="4"/>
    <s v="Fitness Item 137"/>
    <n v="427.05"/>
    <n v="9"/>
    <n v="21.85"/>
    <x v="2"/>
    <n v="5.1164968973188153E-2"/>
    <x v="6"/>
    <x v="0"/>
  </r>
  <r>
    <s v="O-10191"/>
    <d v="2022-10-21T00:00:00"/>
    <x v="3"/>
    <x v="1"/>
    <x v="1"/>
    <s v="Makeup Item 25"/>
    <n v="1729.77"/>
    <n v="6"/>
    <n v="236.26"/>
    <x v="0"/>
    <n v="0.13658463263902137"/>
    <x v="6"/>
    <x v="0"/>
  </r>
  <r>
    <s v="O-10192"/>
    <d v="2022-10-22T00:00:00"/>
    <x v="3"/>
    <x v="1"/>
    <x v="13"/>
    <s v="Haircare Item 162"/>
    <n v="1838.54"/>
    <n v="3"/>
    <n v="206.02"/>
    <x v="2"/>
    <n v="0.11205630554679258"/>
    <x v="6"/>
    <x v="0"/>
  </r>
  <r>
    <s v="O-10193"/>
    <d v="2022-10-23T00:00:00"/>
    <x v="0"/>
    <x v="4"/>
    <x v="15"/>
    <s v="Appliances Item 199"/>
    <n v="347.72"/>
    <n v="5"/>
    <n v="96.91"/>
    <x v="0"/>
    <n v="0.27870125388243411"/>
    <x v="6"/>
    <x v="0"/>
  </r>
  <r>
    <s v="O-10194"/>
    <d v="2022-10-24T00:00:00"/>
    <x v="3"/>
    <x v="3"/>
    <x v="5"/>
    <s v="Outdoor Item 29"/>
    <n v="1169.56"/>
    <n v="6"/>
    <n v="122.83"/>
    <x v="2"/>
    <n v="0.10502240158692158"/>
    <x v="6"/>
    <x v="0"/>
  </r>
  <r>
    <s v="O-10195"/>
    <d v="2022-10-25T00:00:00"/>
    <x v="1"/>
    <x v="4"/>
    <x v="15"/>
    <s v="Appliances Item 49"/>
    <n v="372.51"/>
    <n v="4"/>
    <n v="61.37"/>
    <x v="0"/>
    <n v="0.16474725510724544"/>
    <x v="6"/>
    <x v="0"/>
  </r>
  <r>
    <s v="O-10196"/>
    <d v="2022-10-26T00:00:00"/>
    <x v="2"/>
    <x v="2"/>
    <x v="6"/>
    <s v="Kids Item 118"/>
    <n v="1724.05"/>
    <n v="8"/>
    <n v="302.64999999999998"/>
    <x v="0"/>
    <n v="0.175545952843595"/>
    <x v="6"/>
    <x v="0"/>
  </r>
  <r>
    <s v="O-10197"/>
    <d v="2022-10-27T00:00:00"/>
    <x v="0"/>
    <x v="1"/>
    <x v="1"/>
    <s v="Makeup Item 179"/>
    <n v="435.61"/>
    <n v="3"/>
    <n v="59.83"/>
    <x v="2"/>
    <n v="0.13734762746493423"/>
    <x v="6"/>
    <x v="0"/>
  </r>
  <r>
    <s v="O-10198"/>
    <d v="2022-10-28T00:00:00"/>
    <x v="3"/>
    <x v="1"/>
    <x v="13"/>
    <s v="Haircare Item 29"/>
    <n v="1257.45"/>
    <n v="8"/>
    <n v="247.55"/>
    <x v="2"/>
    <n v="0.19686667461926916"/>
    <x v="6"/>
    <x v="0"/>
  </r>
  <r>
    <s v="O-10199"/>
    <d v="2022-10-29T00:00:00"/>
    <x v="0"/>
    <x v="1"/>
    <x v="13"/>
    <s v="Haircare Item 115"/>
    <n v="917.51"/>
    <n v="2"/>
    <n v="168.47"/>
    <x v="2"/>
    <n v="0.18361652734030146"/>
    <x v="6"/>
    <x v="0"/>
  </r>
  <r>
    <s v="O-10200"/>
    <d v="2022-10-30T00:00:00"/>
    <x v="3"/>
    <x v="0"/>
    <x v="7"/>
    <s v="Accessories Item 114"/>
    <n v="1004.08"/>
    <n v="3"/>
    <n v="89.17"/>
    <x v="2"/>
    <n v="8.8807664727910129E-2"/>
    <x v="6"/>
    <x v="0"/>
  </r>
  <r>
    <s v="O-10201"/>
    <d v="2022-10-31T00:00:00"/>
    <x v="2"/>
    <x v="4"/>
    <x v="15"/>
    <s v="Appliances Item 157"/>
    <n v="169.5"/>
    <n v="3"/>
    <n v="24.29"/>
    <x v="0"/>
    <n v="0.14330383480825959"/>
    <x v="6"/>
    <x v="0"/>
  </r>
  <r>
    <s v="O-10202"/>
    <d v="2022-11-01T00:00:00"/>
    <x v="0"/>
    <x v="4"/>
    <x v="12"/>
    <s v="Decor Item 110"/>
    <n v="1062.6300000000001"/>
    <n v="1"/>
    <n v="59.88"/>
    <x v="2"/>
    <n v="5.6350752378532508E-2"/>
    <x v="7"/>
    <x v="0"/>
  </r>
  <r>
    <s v="O-10203"/>
    <d v="2022-11-02T00:00:00"/>
    <x v="1"/>
    <x v="2"/>
    <x v="2"/>
    <s v="Women Item 32"/>
    <n v="1437.63"/>
    <n v="8"/>
    <n v="81.62"/>
    <x v="2"/>
    <n v="5.6773996090788308E-2"/>
    <x v="7"/>
    <x v="0"/>
  </r>
  <r>
    <s v="O-10204"/>
    <d v="2022-11-03T00:00:00"/>
    <x v="1"/>
    <x v="0"/>
    <x v="0"/>
    <s v="Cameras Item 72"/>
    <n v="226.13"/>
    <n v="5"/>
    <n v="21.4"/>
    <x v="1"/>
    <n v="9.4635828947950293E-2"/>
    <x v="7"/>
    <x v="0"/>
  </r>
  <r>
    <s v="O-10205"/>
    <d v="2022-11-04T00:00:00"/>
    <x v="0"/>
    <x v="4"/>
    <x v="10"/>
    <s v="Furniture Item 92"/>
    <n v="491.6"/>
    <n v="2"/>
    <n v="123.55"/>
    <x v="1"/>
    <n v="0.25132221318144832"/>
    <x v="7"/>
    <x v="0"/>
  </r>
  <r>
    <s v="O-10206"/>
    <d v="2022-11-05T00:00:00"/>
    <x v="1"/>
    <x v="4"/>
    <x v="15"/>
    <s v="Appliances Item 78"/>
    <n v="1214.33"/>
    <n v="4"/>
    <n v="347.42"/>
    <x v="1"/>
    <n v="0.28610015399438377"/>
    <x v="7"/>
    <x v="0"/>
  </r>
  <r>
    <s v="O-10207"/>
    <d v="2022-11-06T00:00:00"/>
    <x v="1"/>
    <x v="2"/>
    <x v="3"/>
    <s v="Men Item 142"/>
    <n v="600.42999999999995"/>
    <n v="2"/>
    <n v="31.97"/>
    <x v="2"/>
    <n v="5.3245174291757576E-2"/>
    <x v="7"/>
    <x v="0"/>
  </r>
  <r>
    <s v="O-10208"/>
    <d v="2022-11-07T00:00:00"/>
    <x v="2"/>
    <x v="3"/>
    <x v="4"/>
    <s v="Fitness Item 151"/>
    <n v="1699.29"/>
    <n v="3"/>
    <n v="332.65"/>
    <x v="2"/>
    <n v="0.19575822843658233"/>
    <x v="7"/>
    <x v="0"/>
  </r>
  <r>
    <s v="O-10209"/>
    <d v="2022-11-08T00:00:00"/>
    <x v="2"/>
    <x v="0"/>
    <x v="0"/>
    <s v="Cameras Item 82"/>
    <n v="1787.49"/>
    <n v="5"/>
    <n v="242.12"/>
    <x v="0"/>
    <n v="0.13545250602800576"/>
    <x v="7"/>
    <x v="0"/>
  </r>
  <r>
    <s v="O-10210"/>
    <d v="2022-11-09T00:00:00"/>
    <x v="0"/>
    <x v="1"/>
    <x v="8"/>
    <s v="Skincare Item 195"/>
    <n v="1188.78"/>
    <n v="4"/>
    <n v="244.93"/>
    <x v="2"/>
    <n v="0.20603475832365956"/>
    <x v="7"/>
    <x v="0"/>
  </r>
  <r>
    <s v="O-10211"/>
    <d v="2022-11-10T00:00:00"/>
    <x v="0"/>
    <x v="2"/>
    <x v="3"/>
    <s v="Men Item 137"/>
    <n v="883.53"/>
    <n v="3"/>
    <n v="253.67"/>
    <x v="0"/>
    <n v="0.28710966237705565"/>
    <x v="7"/>
    <x v="0"/>
  </r>
  <r>
    <s v="O-10212"/>
    <d v="2022-11-11T00:00:00"/>
    <x v="3"/>
    <x v="0"/>
    <x v="11"/>
    <s v="Laptops Item 24"/>
    <n v="246.19"/>
    <n v="8"/>
    <n v="72.959999999999994"/>
    <x v="0"/>
    <n v="0.29635647264308052"/>
    <x v="7"/>
    <x v="0"/>
  </r>
  <r>
    <s v="O-10213"/>
    <d v="2022-11-12T00:00:00"/>
    <x v="2"/>
    <x v="3"/>
    <x v="14"/>
    <s v="Equipment Item 128"/>
    <n v="380.57"/>
    <n v="2"/>
    <n v="21.17"/>
    <x v="1"/>
    <n v="5.562708568725859E-2"/>
    <x v="7"/>
    <x v="0"/>
  </r>
  <r>
    <s v="O-10214"/>
    <d v="2022-11-13T00:00:00"/>
    <x v="0"/>
    <x v="4"/>
    <x v="15"/>
    <s v="Appliances Item 9"/>
    <n v="1092.44"/>
    <n v="9"/>
    <n v="125.05"/>
    <x v="1"/>
    <n v="0.11446852916407307"/>
    <x v="7"/>
    <x v="0"/>
  </r>
  <r>
    <s v="O-10215"/>
    <d v="2022-11-14T00:00:00"/>
    <x v="0"/>
    <x v="3"/>
    <x v="14"/>
    <s v="Equipment Item 4"/>
    <n v="281.91000000000003"/>
    <n v="2"/>
    <n v="33.29"/>
    <x v="1"/>
    <n v="0.11808733283672093"/>
    <x v="7"/>
    <x v="0"/>
  </r>
  <r>
    <s v="O-10216"/>
    <d v="2022-11-15T00:00:00"/>
    <x v="1"/>
    <x v="4"/>
    <x v="15"/>
    <s v="Appliances Item 70"/>
    <n v="1830.31"/>
    <n v="5"/>
    <n v="464.47"/>
    <x v="2"/>
    <n v="0.25376575552775216"/>
    <x v="7"/>
    <x v="0"/>
  </r>
  <r>
    <s v="O-10217"/>
    <d v="2022-11-16T00:00:00"/>
    <x v="1"/>
    <x v="2"/>
    <x v="3"/>
    <s v="Men Item 166"/>
    <n v="153.01"/>
    <n v="5"/>
    <n v="32.57"/>
    <x v="2"/>
    <n v="0.2128619044506895"/>
    <x v="7"/>
    <x v="0"/>
  </r>
  <r>
    <s v="O-10218"/>
    <d v="2022-11-17T00:00:00"/>
    <x v="2"/>
    <x v="3"/>
    <x v="14"/>
    <s v="Equipment Item 76"/>
    <n v="428.71"/>
    <n v="6"/>
    <n v="36.11"/>
    <x v="2"/>
    <n v="8.4229432483496999E-2"/>
    <x v="7"/>
    <x v="0"/>
  </r>
  <r>
    <s v="O-10219"/>
    <d v="2022-11-18T00:00:00"/>
    <x v="3"/>
    <x v="3"/>
    <x v="14"/>
    <s v="Equipment Item 134"/>
    <n v="1469.73"/>
    <n v="2"/>
    <n v="294.14"/>
    <x v="2"/>
    <n v="0.20013199703346873"/>
    <x v="7"/>
    <x v="0"/>
  </r>
  <r>
    <s v="O-10220"/>
    <d v="2022-11-19T00:00:00"/>
    <x v="1"/>
    <x v="0"/>
    <x v="0"/>
    <s v="Cameras Item 138"/>
    <n v="1830.54"/>
    <n v="5"/>
    <n v="266.86"/>
    <x v="1"/>
    <n v="0.14578211893758128"/>
    <x v="7"/>
    <x v="0"/>
  </r>
  <r>
    <s v="O-10221"/>
    <d v="2022-11-20T00:00:00"/>
    <x v="1"/>
    <x v="2"/>
    <x v="3"/>
    <s v="Men Item 46"/>
    <n v="112.99"/>
    <n v="6"/>
    <n v="26.5"/>
    <x v="0"/>
    <n v="0.23453402956013808"/>
    <x v="7"/>
    <x v="0"/>
  </r>
  <r>
    <s v="O-10222"/>
    <d v="2022-11-21T00:00:00"/>
    <x v="3"/>
    <x v="1"/>
    <x v="1"/>
    <s v="Makeup Item 36"/>
    <n v="1546.55"/>
    <n v="5"/>
    <n v="400.97"/>
    <x v="1"/>
    <n v="0.25926740163589929"/>
    <x v="7"/>
    <x v="0"/>
  </r>
  <r>
    <s v="O-10223"/>
    <d v="2022-11-22T00:00:00"/>
    <x v="0"/>
    <x v="0"/>
    <x v="0"/>
    <s v="Cameras Item 164"/>
    <n v="1443.71"/>
    <n v="7"/>
    <n v="292.5"/>
    <x v="0"/>
    <n v="0.20260301584113152"/>
    <x v="7"/>
    <x v="0"/>
  </r>
  <r>
    <s v="O-10224"/>
    <d v="2022-11-23T00:00:00"/>
    <x v="1"/>
    <x v="4"/>
    <x v="12"/>
    <s v="Decor Item 98"/>
    <n v="805.37"/>
    <n v="8"/>
    <n v="228.89"/>
    <x v="1"/>
    <n v="0.28420477544482659"/>
    <x v="7"/>
    <x v="0"/>
  </r>
  <r>
    <s v="O-10225"/>
    <d v="2022-11-24T00:00:00"/>
    <x v="1"/>
    <x v="3"/>
    <x v="4"/>
    <s v="Fitness Item 56"/>
    <n v="445.58"/>
    <n v="4"/>
    <n v="82.41"/>
    <x v="2"/>
    <n v="0.18494995287041607"/>
    <x v="7"/>
    <x v="0"/>
  </r>
  <r>
    <s v="O-10226"/>
    <d v="2022-11-25T00:00:00"/>
    <x v="0"/>
    <x v="2"/>
    <x v="6"/>
    <s v="Kids Item 81"/>
    <n v="1002.81"/>
    <n v="2"/>
    <n v="206.41"/>
    <x v="1"/>
    <n v="0.20583161316700074"/>
    <x v="7"/>
    <x v="0"/>
  </r>
  <r>
    <s v="O-10227"/>
    <d v="2022-11-26T00:00:00"/>
    <x v="2"/>
    <x v="3"/>
    <x v="5"/>
    <s v="Outdoor Item 73"/>
    <n v="168.77"/>
    <n v="1"/>
    <n v="25.86"/>
    <x v="0"/>
    <n v="0.15322628429223201"/>
    <x v="7"/>
    <x v="0"/>
  </r>
  <r>
    <s v="O-10228"/>
    <d v="2022-11-27T00:00:00"/>
    <x v="2"/>
    <x v="0"/>
    <x v="7"/>
    <s v="Accessories Item 171"/>
    <n v="1204.6099999999999"/>
    <n v="9"/>
    <n v="134.44"/>
    <x v="2"/>
    <n v="0.11160458571653897"/>
    <x v="7"/>
    <x v="0"/>
  </r>
  <r>
    <s v="O-10229"/>
    <d v="2022-11-28T00:00:00"/>
    <x v="0"/>
    <x v="2"/>
    <x v="2"/>
    <s v="Women Item 108"/>
    <n v="1395.5"/>
    <n v="6"/>
    <n v="275.69"/>
    <x v="0"/>
    <n v="0.19755643138659978"/>
    <x v="7"/>
    <x v="0"/>
  </r>
  <r>
    <s v="O-10230"/>
    <d v="2022-11-29T00:00:00"/>
    <x v="3"/>
    <x v="4"/>
    <x v="10"/>
    <s v="Furniture Item 101"/>
    <n v="201.33"/>
    <n v="1"/>
    <n v="16.95"/>
    <x v="0"/>
    <n v="8.4190135598271487E-2"/>
    <x v="7"/>
    <x v="0"/>
  </r>
  <r>
    <s v="O-10231"/>
    <d v="2022-11-30T00:00:00"/>
    <x v="3"/>
    <x v="0"/>
    <x v="11"/>
    <s v="Laptops Item 57"/>
    <n v="903.09"/>
    <n v="8"/>
    <n v="216.38"/>
    <x v="2"/>
    <n v="0.23959959693939695"/>
    <x v="7"/>
    <x v="0"/>
  </r>
  <r>
    <s v="O-10232"/>
    <d v="2022-12-01T00:00:00"/>
    <x v="3"/>
    <x v="0"/>
    <x v="7"/>
    <s v="Accessories Item 81"/>
    <n v="1324.39"/>
    <n v="6"/>
    <n v="277.20999999999998"/>
    <x v="1"/>
    <n v="0.20931145659511169"/>
    <x v="8"/>
    <x v="0"/>
  </r>
  <r>
    <s v="O-10233"/>
    <d v="2022-12-02T00:00:00"/>
    <x v="2"/>
    <x v="4"/>
    <x v="10"/>
    <s v="Furniture Item 25"/>
    <n v="1808.66"/>
    <n v="9"/>
    <n v="517.29999999999995"/>
    <x v="2"/>
    <n v="0.28601284929174081"/>
    <x v="8"/>
    <x v="0"/>
  </r>
  <r>
    <s v="O-10234"/>
    <d v="2022-12-03T00:00:00"/>
    <x v="1"/>
    <x v="3"/>
    <x v="14"/>
    <s v="Equipment Item 32"/>
    <n v="1417.04"/>
    <n v="7"/>
    <n v="424.88"/>
    <x v="2"/>
    <n v="0.29983627843956417"/>
    <x v="8"/>
    <x v="0"/>
  </r>
  <r>
    <s v="O-10235"/>
    <d v="2022-12-04T00:00:00"/>
    <x v="2"/>
    <x v="0"/>
    <x v="7"/>
    <s v="Accessories Item 135"/>
    <n v="87.21"/>
    <n v="5"/>
    <n v="20.3"/>
    <x v="1"/>
    <n v="0.23277147116156408"/>
    <x v="8"/>
    <x v="0"/>
  </r>
  <r>
    <s v="O-10236"/>
    <d v="2022-12-05T00:00:00"/>
    <x v="3"/>
    <x v="3"/>
    <x v="5"/>
    <s v="Outdoor Item 72"/>
    <n v="1942.7"/>
    <n v="7"/>
    <n v="483.41"/>
    <x v="0"/>
    <n v="0.24883409687548258"/>
    <x v="8"/>
    <x v="0"/>
  </r>
  <r>
    <s v="O-10237"/>
    <d v="2022-12-06T00:00:00"/>
    <x v="0"/>
    <x v="3"/>
    <x v="14"/>
    <s v="Equipment Item 116"/>
    <n v="1692.21"/>
    <n v="2"/>
    <n v="305.63"/>
    <x v="1"/>
    <n v="0.18060997157563186"/>
    <x v="8"/>
    <x v="0"/>
  </r>
  <r>
    <s v="O-10238"/>
    <d v="2022-12-07T00:00:00"/>
    <x v="3"/>
    <x v="2"/>
    <x v="3"/>
    <s v="Men Item 17"/>
    <n v="1307.33"/>
    <n v="8"/>
    <n v="140.54"/>
    <x v="2"/>
    <n v="0.1075015489585644"/>
    <x v="8"/>
    <x v="0"/>
  </r>
  <r>
    <s v="O-10239"/>
    <d v="2022-12-08T00:00:00"/>
    <x v="1"/>
    <x v="3"/>
    <x v="14"/>
    <s v="Equipment Item 45"/>
    <n v="172.37"/>
    <n v="5"/>
    <n v="31.47"/>
    <x v="1"/>
    <n v="0.18257237338283924"/>
    <x v="8"/>
    <x v="0"/>
  </r>
  <r>
    <s v="O-10240"/>
    <d v="2022-12-09T00:00:00"/>
    <x v="1"/>
    <x v="0"/>
    <x v="11"/>
    <s v="Laptops Item 108"/>
    <n v="1153.4100000000001"/>
    <n v="8"/>
    <n v="213.23"/>
    <x v="2"/>
    <n v="0.18486921389618607"/>
    <x v="8"/>
    <x v="0"/>
  </r>
  <r>
    <s v="O-10241"/>
    <d v="2022-12-10T00:00:00"/>
    <x v="0"/>
    <x v="2"/>
    <x v="6"/>
    <s v="Kids Item 153"/>
    <n v="1480.95"/>
    <n v="1"/>
    <n v="402.07"/>
    <x v="1"/>
    <n v="0.271494648705223"/>
    <x v="8"/>
    <x v="0"/>
  </r>
  <r>
    <s v="O-10242"/>
    <d v="2022-12-11T00:00:00"/>
    <x v="2"/>
    <x v="2"/>
    <x v="2"/>
    <s v="Women Item 108"/>
    <n v="481.26"/>
    <n v="7"/>
    <n v="79.64"/>
    <x v="2"/>
    <n v="0.16548227569297261"/>
    <x v="8"/>
    <x v="0"/>
  </r>
  <r>
    <s v="O-10243"/>
    <d v="2022-12-12T00:00:00"/>
    <x v="0"/>
    <x v="0"/>
    <x v="9"/>
    <s v="Phones Item 158"/>
    <n v="20.47"/>
    <n v="2"/>
    <n v="5.83"/>
    <x v="2"/>
    <n v="0.28480703468490476"/>
    <x v="8"/>
    <x v="0"/>
  </r>
  <r>
    <s v="O-10244"/>
    <d v="2022-12-13T00:00:00"/>
    <x v="1"/>
    <x v="2"/>
    <x v="6"/>
    <s v="Kids Item 46"/>
    <n v="714.41"/>
    <n v="1"/>
    <n v="107.51"/>
    <x v="0"/>
    <n v="0.15048781512016909"/>
    <x v="8"/>
    <x v="0"/>
  </r>
  <r>
    <s v="O-10245"/>
    <d v="2022-12-14T00:00:00"/>
    <x v="0"/>
    <x v="0"/>
    <x v="11"/>
    <s v="Laptops Item 185"/>
    <n v="1169.9000000000001"/>
    <n v="9"/>
    <n v="283.2"/>
    <x v="0"/>
    <n v="0.24207197196341565"/>
    <x v="8"/>
    <x v="0"/>
  </r>
  <r>
    <s v="O-10246"/>
    <d v="2022-12-15T00:00:00"/>
    <x v="3"/>
    <x v="1"/>
    <x v="8"/>
    <s v="Skincare Item 84"/>
    <n v="1480.41"/>
    <n v="1"/>
    <n v="114.91"/>
    <x v="1"/>
    <n v="7.7620388946305408E-2"/>
    <x v="8"/>
    <x v="0"/>
  </r>
  <r>
    <s v="O-10247"/>
    <d v="2022-12-16T00:00:00"/>
    <x v="1"/>
    <x v="2"/>
    <x v="3"/>
    <s v="Men Item 120"/>
    <n v="588.73"/>
    <n v="4"/>
    <n v="134.75"/>
    <x v="2"/>
    <n v="0.2288825098092504"/>
    <x v="8"/>
    <x v="0"/>
  </r>
  <r>
    <s v="O-10248"/>
    <d v="2022-12-17T00:00:00"/>
    <x v="1"/>
    <x v="4"/>
    <x v="10"/>
    <s v="Furniture Item 153"/>
    <n v="568.99"/>
    <n v="5"/>
    <n v="168.95"/>
    <x v="2"/>
    <n v="0.29692964726972354"/>
    <x v="8"/>
    <x v="0"/>
  </r>
  <r>
    <s v="O-10249"/>
    <d v="2022-12-18T00:00:00"/>
    <x v="3"/>
    <x v="0"/>
    <x v="11"/>
    <s v="Laptops Item 143"/>
    <n v="780.97"/>
    <n v="8"/>
    <n v="63.34"/>
    <x v="0"/>
    <n v="8.1104267769568611E-2"/>
    <x v="8"/>
    <x v="0"/>
  </r>
  <r>
    <s v="O-10250"/>
    <d v="2022-12-19T00:00:00"/>
    <x v="3"/>
    <x v="4"/>
    <x v="15"/>
    <s v="Appliances Item 37"/>
    <n v="1576.96"/>
    <n v="6"/>
    <n v="466.12"/>
    <x v="0"/>
    <n v="0.29558137175324672"/>
    <x v="8"/>
    <x v="0"/>
  </r>
  <r>
    <s v="O-10251"/>
    <d v="2022-12-20T00:00:00"/>
    <x v="0"/>
    <x v="0"/>
    <x v="0"/>
    <s v="Cameras Item 46"/>
    <n v="1209.58"/>
    <n v="2"/>
    <n v="110.99"/>
    <x v="0"/>
    <n v="9.1759123001372372E-2"/>
    <x v="8"/>
    <x v="0"/>
  </r>
  <r>
    <s v="O-10252"/>
    <d v="2022-12-21T00:00:00"/>
    <x v="0"/>
    <x v="2"/>
    <x v="3"/>
    <s v="Men Item 4"/>
    <n v="478.71"/>
    <n v="4"/>
    <n v="124.2"/>
    <x v="0"/>
    <n v="0.25944726452340666"/>
    <x v="8"/>
    <x v="0"/>
  </r>
  <r>
    <s v="O-10253"/>
    <d v="2022-12-22T00:00:00"/>
    <x v="2"/>
    <x v="1"/>
    <x v="13"/>
    <s v="Haircare Item 117"/>
    <n v="1664.67"/>
    <n v="2"/>
    <n v="243.08"/>
    <x v="2"/>
    <n v="0.14602293547670109"/>
    <x v="8"/>
    <x v="0"/>
  </r>
  <r>
    <s v="O-10254"/>
    <d v="2022-12-23T00:00:00"/>
    <x v="0"/>
    <x v="3"/>
    <x v="14"/>
    <s v="Equipment Item 3"/>
    <n v="1655.89"/>
    <n v="5"/>
    <n v="106.74"/>
    <x v="1"/>
    <n v="6.4460803555791743E-2"/>
    <x v="8"/>
    <x v="0"/>
  </r>
  <r>
    <s v="O-10255"/>
    <d v="2022-12-24T00:00:00"/>
    <x v="2"/>
    <x v="2"/>
    <x v="6"/>
    <s v="Kids Item 177"/>
    <n v="1046.1600000000001"/>
    <n v="4"/>
    <n v="312.52"/>
    <x v="0"/>
    <n v="0.2987305957023782"/>
    <x v="8"/>
    <x v="0"/>
  </r>
  <r>
    <s v="O-10256"/>
    <d v="2022-12-25T00:00:00"/>
    <x v="1"/>
    <x v="3"/>
    <x v="5"/>
    <s v="Outdoor Item 123"/>
    <n v="804.56"/>
    <n v="2"/>
    <n v="139.03"/>
    <x v="2"/>
    <n v="0.1728025256040569"/>
    <x v="8"/>
    <x v="0"/>
  </r>
  <r>
    <s v="O-10257"/>
    <d v="2022-12-26T00:00:00"/>
    <x v="1"/>
    <x v="3"/>
    <x v="5"/>
    <s v="Outdoor Item 3"/>
    <n v="1635.35"/>
    <n v="6"/>
    <n v="336.45"/>
    <x v="0"/>
    <n v="0.20573577521631456"/>
    <x v="8"/>
    <x v="0"/>
  </r>
  <r>
    <s v="O-10258"/>
    <d v="2022-12-27T00:00:00"/>
    <x v="1"/>
    <x v="1"/>
    <x v="8"/>
    <s v="Skincare Item 73"/>
    <n v="1791.94"/>
    <n v="5"/>
    <n v="130.58000000000001"/>
    <x v="0"/>
    <n v="7.2870743440070537E-2"/>
    <x v="8"/>
    <x v="0"/>
  </r>
  <r>
    <s v="O-10259"/>
    <d v="2022-12-28T00:00:00"/>
    <x v="2"/>
    <x v="2"/>
    <x v="3"/>
    <s v="Men Item 184"/>
    <n v="545.89"/>
    <n v="9"/>
    <n v="33.35"/>
    <x v="0"/>
    <n v="6.1092894172818706E-2"/>
    <x v="8"/>
    <x v="0"/>
  </r>
  <r>
    <s v="O-10260"/>
    <d v="2022-12-29T00:00:00"/>
    <x v="1"/>
    <x v="2"/>
    <x v="3"/>
    <s v="Men Item 170"/>
    <n v="1622.84"/>
    <n v="8"/>
    <n v="459.1"/>
    <x v="1"/>
    <n v="0.2828991151314979"/>
    <x v="8"/>
    <x v="0"/>
  </r>
  <r>
    <s v="O-10261"/>
    <d v="2022-12-30T00:00:00"/>
    <x v="2"/>
    <x v="3"/>
    <x v="14"/>
    <s v="Equipment Item 187"/>
    <n v="577.15"/>
    <n v="6"/>
    <n v="66.34"/>
    <x v="1"/>
    <n v="0.11494412197868839"/>
    <x v="8"/>
    <x v="0"/>
  </r>
  <r>
    <s v="O-10262"/>
    <d v="2022-12-31T00:00:00"/>
    <x v="2"/>
    <x v="3"/>
    <x v="14"/>
    <s v="Equipment Item 90"/>
    <n v="1074.55"/>
    <n v="5"/>
    <n v="112.88"/>
    <x v="1"/>
    <n v="0.10504862500581638"/>
    <x v="8"/>
    <x v="0"/>
  </r>
  <r>
    <s v="O-10263"/>
    <d v="2023-01-01T00:00:00"/>
    <x v="1"/>
    <x v="1"/>
    <x v="1"/>
    <s v="Makeup Item 114"/>
    <n v="1000.39"/>
    <n v="3"/>
    <n v="256.27"/>
    <x v="0"/>
    <n v="0.25617009366347121"/>
    <x v="9"/>
    <x v="1"/>
  </r>
  <r>
    <s v="O-10264"/>
    <d v="2023-01-02T00:00:00"/>
    <x v="2"/>
    <x v="1"/>
    <x v="13"/>
    <s v="Haircare Item 40"/>
    <n v="1362.47"/>
    <n v="1"/>
    <n v="367.4"/>
    <x v="2"/>
    <n v="0.2696573135555278"/>
    <x v="9"/>
    <x v="1"/>
  </r>
  <r>
    <s v="O-10265"/>
    <d v="2023-01-03T00:00:00"/>
    <x v="0"/>
    <x v="1"/>
    <x v="1"/>
    <s v="Makeup Item 80"/>
    <n v="1323.73"/>
    <n v="1"/>
    <n v="118.26"/>
    <x v="1"/>
    <n v="8.9338460260022817E-2"/>
    <x v="9"/>
    <x v="1"/>
  </r>
  <r>
    <s v="O-10266"/>
    <d v="2023-01-04T00:00:00"/>
    <x v="1"/>
    <x v="4"/>
    <x v="15"/>
    <s v="Appliances Item 13"/>
    <n v="1677.29"/>
    <n v="9"/>
    <n v="473.87"/>
    <x v="0"/>
    <n v="0.28252120980867951"/>
    <x v="9"/>
    <x v="1"/>
  </r>
  <r>
    <s v="O-10267"/>
    <d v="2023-01-05T00:00:00"/>
    <x v="0"/>
    <x v="3"/>
    <x v="4"/>
    <s v="Fitness Item 191"/>
    <n v="1404"/>
    <n v="7"/>
    <n v="379.65"/>
    <x v="2"/>
    <n v="0.27040598290598289"/>
    <x v="9"/>
    <x v="1"/>
  </r>
  <r>
    <s v="O-10268"/>
    <d v="2023-01-06T00:00:00"/>
    <x v="2"/>
    <x v="3"/>
    <x v="4"/>
    <s v="Fitness Item 58"/>
    <n v="941.63"/>
    <n v="7"/>
    <n v="48.29"/>
    <x v="2"/>
    <n v="5.128341280545437E-2"/>
    <x v="9"/>
    <x v="1"/>
  </r>
  <r>
    <s v="O-10269"/>
    <d v="2023-01-07T00:00:00"/>
    <x v="1"/>
    <x v="2"/>
    <x v="3"/>
    <s v="Men Item 107"/>
    <n v="472.68"/>
    <n v="7"/>
    <n v="42.63"/>
    <x v="0"/>
    <n v="9.0187864940340187E-2"/>
    <x v="9"/>
    <x v="1"/>
  </r>
  <r>
    <s v="O-10270"/>
    <d v="2023-01-08T00:00:00"/>
    <x v="3"/>
    <x v="1"/>
    <x v="8"/>
    <s v="Skincare Item 2"/>
    <n v="1667.63"/>
    <n v="7"/>
    <n v="163.9"/>
    <x v="2"/>
    <n v="9.8283192314842019E-2"/>
    <x v="9"/>
    <x v="1"/>
  </r>
  <r>
    <s v="O-10271"/>
    <d v="2023-01-09T00:00:00"/>
    <x v="1"/>
    <x v="1"/>
    <x v="8"/>
    <s v="Skincare Item 46"/>
    <n v="666.34"/>
    <n v="9"/>
    <n v="138.57"/>
    <x v="1"/>
    <n v="0.20795689888045141"/>
    <x v="9"/>
    <x v="1"/>
  </r>
  <r>
    <s v="O-10272"/>
    <d v="2023-01-10T00:00:00"/>
    <x v="0"/>
    <x v="0"/>
    <x v="9"/>
    <s v="Phones Item 98"/>
    <n v="1275.33"/>
    <n v="8"/>
    <n v="324.79000000000002"/>
    <x v="1"/>
    <n v="0.25467133996691055"/>
    <x v="9"/>
    <x v="1"/>
  </r>
  <r>
    <s v="O-10273"/>
    <d v="2023-01-11T00:00:00"/>
    <x v="2"/>
    <x v="4"/>
    <x v="10"/>
    <s v="Furniture Item 158"/>
    <n v="56.49"/>
    <n v="9"/>
    <n v="16.420000000000002"/>
    <x v="1"/>
    <n v="0.29067091520623123"/>
    <x v="9"/>
    <x v="1"/>
  </r>
  <r>
    <s v="O-10274"/>
    <d v="2023-01-12T00:00:00"/>
    <x v="3"/>
    <x v="1"/>
    <x v="8"/>
    <s v="Skincare Item 60"/>
    <n v="375.4"/>
    <n v="5"/>
    <n v="28.39"/>
    <x v="2"/>
    <n v="7.5625998934469904E-2"/>
    <x v="9"/>
    <x v="1"/>
  </r>
  <r>
    <s v="O-10275"/>
    <d v="2023-01-13T00:00:00"/>
    <x v="1"/>
    <x v="0"/>
    <x v="9"/>
    <s v="Phones Item 148"/>
    <n v="1382.01"/>
    <n v="2"/>
    <n v="396.39"/>
    <x v="1"/>
    <n v="0.28682136887576787"/>
    <x v="9"/>
    <x v="1"/>
  </r>
  <r>
    <s v="O-10276"/>
    <d v="2023-01-14T00:00:00"/>
    <x v="2"/>
    <x v="3"/>
    <x v="14"/>
    <s v="Equipment Item 17"/>
    <n v="1546.55"/>
    <n v="1"/>
    <n v="302.42"/>
    <x v="2"/>
    <n v="0.19554492256959038"/>
    <x v="9"/>
    <x v="1"/>
  </r>
  <r>
    <s v="O-10277"/>
    <d v="2023-01-15T00:00:00"/>
    <x v="2"/>
    <x v="2"/>
    <x v="6"/>
    <s v="Kids Item 22"/>
    <n v="1249.4100000000001"/>
    <n v="2"/>
    <n v="334.7"/>
    <x v="0"/>
    <n v="0.26788644240081316"/>
    <x v="9"/>
    <x v="1"/>
  </r>
  <r>
    <s v="O-10278"/>
    <d v="2023-01-16T00:00:00"/>
    <x v="0"/>
    <x v="2"/>
    <x v="6"/>
    <s v="Kids Item 175"/>
    <n v="1938.38"/>
    <n v="4"/>
    <n v="410.73"/>
    <x v="2"/>
    <n v="0.21189343678742042"/>
    <x v="9"/>
    <x v="1"/>
  </r>
  <r>
    <s v="O-10279"/>
    <d v="2023-01-17T00:00:00"/>
    <x v="1"/>
    <x v="3"/>
    <x v="4"/>
    <s v="Fitness Item 7"/>
    <n v="149.94"/>
    <n v="1"/>
    <n v="19.63"/>
    <x v="0"/>
    <n v="0.13091903428037882"/>
    <x v="9"/>
    <x v="1"/>
  </r>
  <r>
    <s v="O-10280"/>
    <d v="2023-01-18T00:00:00"/>
    <x v="0"/>
    <x v="1"/>
    <x v="1"/>
    <s v="Makeup Item 160"/>
    <n v="1545.41"/>
    <n v="7"/>
    <n v="249.55"/>
    <x v="2"/>
    <n v="0.16147818378294432"/>
    <x v="9"/>
    <x v="1"/>
  </r>
  <r>
    <s v="O-10281"/>
    <d v="2023-01-19T00:00:00"/>
    <x v="1"/>
    <x v="1"/>
    <x v="8"/>
    <s v="Skincare Item 29"/>
    <n v="1889.72"/>
    <n v="3"/>
    <n v="307.73"/>
    <x v="0"/>
    <n v="0.162844230891349"/>
    <x v="9"/>
    <x v="1"/>
  </r>
  <r>
    <s v="O-10282"/>
    <d v="2023-01-20T00:00:00"/>
    <x v="0"/>
    <x v="4"/>
    <x v="10"/>
    <s v="Furniture Item 15"/>
    <n v="1593.72"/>
    <n v="4"/>
    <n v="414.35"/>
    <x v="2"/>
    <n v="0.25998920763998695"/>
    <x v="9"/>
    <x v="1"/>
  </r>
  <r>
    <s v="O-10283"/>
    <d v="2023-01-21T00:00:00"/>
    <x v="1"/>
    <x v="2"/>
    <x v="3"/>
    <s v="Men Item 84"/>
    <n v="1315.93"/>
    <n v="3"/>
    <n v="378.61"/>
    <x v="0"/>
    <n v="0.28771287226524206"/>
    <x v="9"/>
    <x v="1"/>
  </r>
  <r>
    <s v="O-10284"/>
    <d v="2023-01-22T00:00:00"/>
    <x v="3"/>
    <x v="4"/>
    <x v="12"/>
    <s v="Decor Item 92"/>
    <n v="1467.91"/>
    <n v="5"/>
    <n v="307.72000000000003"/>
    <x v="0"/>
    <n v="0.20963138067047707"/>
    <x v="9"/>
    <x v="1"/>
  </r>
  <r>
    <s v="O-10285"/>
    <d v="2023-01-23T00:00:00"/>
    <x v="1"/>
    <x v="4"/>
    <x v="12"/>
    <s v="Decor Item 185"/>
    <n v="895.75"/>
    <n v="1"/>
    <n v="116.61"/>
    <x v="1"/>
    <n v="0.13018141222439297"/>
    <x v="9"/>
    <x v="1"/>
  </r>
  <r>
    <s v="O-10286"/>
    <d v="2023-01-24T00:00:00"/>
    <x v="3"/>
    <x v="1"/>
    <x v="1"/>
    <s v="Makeup Item 162"/>
    <n v="441.95"/>
    <n v="1"/>
    <n v="94.1"/>
    <x v="0"/>
    <n v="0.21292001357619639"/>
    <x v="9"/>
    <x v="1"/>
  </r>
  <r>
    <s v="O-10287"/>
    <d v="2023-01-25T00:00:00"/>
    <x v="2"/>
    <x v="3"/>
    <x v="5"/>
    <s v="Outdoor Item 18"/>
    <n v="1731.43"/>
    <n v="8"/>
    <n v="155.5"/>
    <x v="2"/>
    <n v="8.981015692231277E-2"/>
    <x v="9"/>
    <x v="1"/>
  </r>
  <r>
    <s v="O-10288"/>
    <d v="2023-01-26T00:00:00"/>
    <x v="0"/>
    <x v="0"/>
    <x v="11"/>
    <s v="Laptops Item 93"/>
    <n v="1557.66"/>
    <n v="2"/>
    <n v="374.24"/>
    <x v="2"/>
    <n v="0.24025782263138296"/>
    <x v="9"/>
    <x v="1"/>
  </r>
  <r>
    <s v="O-10289"/>
    <d v="2023-01-27T00:00:00"/>
    <x v="1"/>
    <x v="1"/>
    <x v="1"/>
    <s v="Makeup Item 93"/>
    <n v="279.86"/>
    <n v="5"/>
    <n v="77.790000000000006"/>
    <x v="0"/>
    <n v="0.27796040877581651"/>
    <x v="9"/>
    <x v="1"/>
  </r>
  <r>
    <s v="O-10290"/>
    <d v="2023-01-28T00:00:00"/>
    <x v="1"/>
    <x v="3"/>
    <x v="14"/>
    <s v="Equipment Item 131"/>
    <n v="387.21"/>
    <n v="9"/>
    <n v="19.48"/>
    <x v="2"/>
    <n v="5.0308618062550041E-2"/>
    <x v="9"/>
    <x v="1"/>
  </r>
  <r>
    <s v="O-10291"/>
    <d v="2023-01-29T00:00:00"/>
    <x v="2"/>
    <x v="1"/>
    <x v="13"/>
    <s v="Haircare Item 17"/>
    <n v="1222.47"/>
    <n v="4"/>
    <n v="192.63"/>
    <x v="0"/>
    <n v="0.15757441900414734"/>
    <x v="9"/>
    <x v="1"/>
  </r>
  <r>
    <s v="O-10292"/>
    <d v="2023-01-30T00:00:00"/>
    <x v="1"/>
    <x v="1"/>
    <x v="1"/>
    <s v="Makeup Item 176"/>
    <n v="993.36"/>
    <n v="6"/>
    <n v="194.19"/>
    <x v="2"/>
    <n v="0.19548804058951438"/>
    <x v="9"/>
    <x v="1"/>
  </r>
  <r>
    <s v="O-10293"/>
    <d v="2023-01-31T00:00:00"/>
    <x v="3"/>
    <x v="0"/>
    <x v="0"/>
    <s v="Cameras Item 130"/>
    <n v="1599.17"/>
    <n v="1"/>
    <n v="84.6"/>
    <x v="0"/>
    <n v="5.2902443142380101E-2"/>
    <x v="9"/>
    <x v="1"/>
  </r>
  <r>
    <s v="O-10294"/>
    <d v="2023-02-01T00:00:00"/>
    <x v="3"/>
    <x v="1"/>
    <x v="8"/>
    <s v="Skincare Item 64"/>
    <n v="803.18"/>
    <n v="6"/>
    <n v="98.72"/>
    <x v="2"/>
    <n v="0.12291142707736748"/>
    <x v="10"/>
    <x v="1"/>
  </r>
  <r>
    <s v="O-10295"/>
    <d v="2023-02-02T00:00:00"/>
    <x v="3"/>
    <x v="4"/>
    <x v="10"/>
    <s v="Furniture Item 33"/>
    <n v="1906.24"/>
    <n v="9"/>
    <n v="114.19"/>
    <x v="1"/>
    <n v="5.9903265066308546E-2"/>
    <x v="10"/>
    <x v="1"/>
  </r>
  <r>
    <s v="O-10296"/>
    <d v="2023-02-03T00:00:00"/>
    <x v="2"/>
    <x v="2"/>
    <x v="2"/>
    <s v="Women Item 179"/>
    <n v="227.76"/>
    <n v="1"/>
    <n v="17.239999999999998"/>
    <x v="1"/>
    <n v="7.5693712680014041E-2"/>
    <x v="10"/>
    <x v="1"/>
  </r>
  <r>
    <s v="O-10297"/>
    <d v="2023-02-04T00:00:00"/>
    <x v="3"/>
    <x v="0"/>
    <x v="7"/>
    <s v="Accessories Item 160"/>
    <n v="56.37"/>
    <n v="6"/>
    <n v="11.53"/>
    <x v="2"/>
    <n v="0.20454142274259357"/>
    <x v="10"/>
    <x v="1"/>
  </r>
  <r>
    <s v="O-10298"/>
    <d v="2023-02-05T00:00:00"/>
    <x v="3"/>
    <x v="3"/>
    <x v="14"/>
    <s v="Equipment Item 161"/>
    <n v="1128.0999999999999"/>
    <n v="2"/>
    <n v="148.47999999999999"/>
    <x v="1"/>
    <n v="0.13161953727506426"/>
    <x v="10"/>
    <x v="1"/>
  </r>
  <r>
    <s v="O-10299"/>
    <d v="2023-02-06T00:00:00"/>
    <x v="1"/>
    <x v="3"/>
    <x v="4"/>
    <s v="Fitness Item 33"/>
    <n v="1767.42"/>
    <n v="1"/>
    <n v="452.69"/>
    <x v="2"/>
    <n v="0.25613040477079585"/>
    <x v="10"/>
    <x v="1"/>
  </r>
  <r>
    <s v="O-10300"/>
    <d v="2023-02-07T00:00:00"/>
    <x v="0"/>
    <x v="3"/>
    <x v="4"/>
    <s v="Fitness Item 150"/>
    <n v="657.75"/>
    <n v="6"/>
    <n v="126.21"/>
    <x v="0"/>
    <n v="0.19188141391106042"/>
    <x v="10"/>
    <x v="1"/>
  </r>
  <r>
    <s v="O-10301"/>
    <d v="2023-02-08T00:00:00"/>
    <x v="1"/>
    <x v="1"/>
    <x v="13"/>
    <s v="Haircare Item 122"/>
    <n v="1605.16"/>
    <n v="2"/>
    <n v="96.78"/>
    <x v="1"/>
    <n v="6.0293054897954099E-2"/>
    <x v="10"/>
    <x v="1"/>
  </r>
  <r>
    <s v="O-10302"/>
    <d v="2023-02-09T00:00:00"/>
    <x v="3"/>
    <x v="4"/>
    <x v="10"/>
    <s v="Furniture Item 49"/>
    <n v="1904.07"/>
    <n v="3"/>
    <n v="521.82000000000005"/>
    <x v="2"/>
    <n v="0.27405505049709311"/>
    <x v="10"/>
    <x v="1"/>
  </r>
  <r>
    <s v="O-10303"/>
    <d v="2023-02-10T00:00:00"/>
    <x v="1"/>
    <x v="1"/>
    <x v="8"/>
    <s v="Skincare Item 6"/>
    <n v="1240.8800000000001"/>
    <n v="9"/>
    <n v="282.01"/>
    <x v="2"/>
    <n v="0.22726613371155951"/>
    <x v="10"/>
    <x v="1"/>
  </r>
  <r>
    <s v="O-10304"/>
    <d v="2023-02-11T00:00:00"/>
    <x v="1"/>
    <x v="0"/>
    <x v="11"/>
    <s v="Laptops Item 72"/>
    <n v="1433.89"/>
    <n v="4"/>
    <n v="193.38"/>
    <x v="0"/>
    <n v="0.13486390169399326"/>
    <x v="10"/>
    <x v="1"/>
  </r>
  <r>
    <s v="O-10305"/>
    <d v="2023-02-12T00:00:00"/>
    <x v="2"/>
    <x v="0"/>
    <x v="0"/>
    <s v="Cameras Item 127"/>
    <n v="178.63"/>
    <n v="4"/>
    <n v="33.630000000000003"/>
    <x v="0"/>
    <n v="0.18826624867043612"/>
    <x v="10"/>
    <x v="1"/>
  </r>
  <r>
    <s v="O-10306"/>
    <d v="2023-02-13T00:00:00"/>
    <x v="1"/>
    <x v="0"/>
    <x v="7"/>
    <s v="Accessories Item 58"/>
    <n v="1571.99"/>
    <n v="3"/>
    <n v="94.62"/>
    <x v="0"/>
    <n v="6.0191222590474498E-2"/>
    <x v="10"/>
    <x v="1"/>
  </r>
  <r>
    <s v="O-10307"/>
    <d v="2023-02-14T00:00:00"/>
    <x v="1"/>
    <x v="0"/>
    <x v="7"/>
    <s v="Accessories Item 106"/>
    <n v="888.44"/>
    <n v="2"/>
    <n v="57.83"/>
    <x v="2"/>
    <n v="6.5091621268740713E-2"/>
    <x v="10"/>
    <x v="1"/>
  </r>
  <r>
    <s v="O-10308"/>
    <d v="2023-02-15T00:00:00"/>
    <x v="3"/>
    <x v="1"/>
    <x v="8"/>
    <s v="Skincare Item 12"/>
    <n v="335.9"/>
    <n v="3"/>
    <n v="35.200000000000003"/>
    <x v="0"/>
    <n v="0.1047930931824948"/>
    <x v="10"/>
    <x v="1"/>
  </r>
  <r>
    <s v="O-10309"/>
    <d v="2023-02-16T00:00:00"/>
    <x v="1"/>
    <x v="3"/>
    <x v="14"/>
    <s v="Equipment Item 100"/>
    <n v="1493.67"/>
    <n v="7"/>
    <n v="236.62"/>
    <x v="2"/>
    <n v="0.15841517872086872"/>
    <x v="10"/>
    <x v="1"/>
  </r>
  <r>
    <s v="O-10310"/>
    <d v="2023-02-17T00:00:00"/>
    <x v="3"/>
    <x v="3"/>
    <x v="5"/>
    <s v="Outdoor Item 51"/>
    <n v="340.11"/>
    <n v="6"/>
    <n v="78.16"/>
    <x v="1"/>
    <n v="0.22980800329305223"/>
    <x v="10"/>
    <x v="1"/>
  </r>
  <r>
    <s v="O-10311"/>
    <d v="2023-02-18T00:00:00"/>
    <x v="1"/>
    <x v="0"/>
    <x v="7"/>
    <s v="Accessories Item 37"/>
    <n v="1992.74"/>
    <n v="9"/>
    <n v="345.38"/>
    <x v="2"/>
    <n v="0.173319148509088"/>
    <x v="10"/>
    <x v="1"/>
  </r>
  <r>
    <s v="O-10312"/>
    <d v="2023-02-19T00:00:00"/>
    <x v="2"/>
    <x v="0"/>
    <x v="9"/>
    <s v="Phones Item 35"/>
    <n v="456.71"/>
    <n v="6"/>
    <n v="26.34"/>
    <x v="1"/>
    <n v="5.7673359462240809E-2"/>
    <x v="10"/>
    <x v="1"/>
  </r>
  <r>
    <s v="O-10313"/>
    <d v="2023-02-20T00:00:00"/>
    <x v="1"/>
    <x v="0"/>
    <x v="11"/>
    <s v="Laptops Item 135"/>
    <n v="935.99"/>
    <n v="5"/>
    <n v="216.96"/>
    <x v="0"/>
    <n v="0.23179734826226778"/>
    <x v="10"/>
    <x v="1"/>
  </r>
  <r>
    <s v="O-10314"/>
    <d v="2023-02-21T00:00:00"/>
    <x v="2"/>
    <x v="4"/>
    <x v="15"/>
    <s v="Appliances Item 148"/>
    <n v="1264.95"/>
    <n v="4"/>
    <n v="222.9"/>
    <x v="1"/>
    <n v="0.17621249851772797"/>
    <x v="10"/>
    <x v="1"/>
  </r>
  <r>
    <s v="O-10315"/>
    <d v="2023-02-22T00:00:00"/>
    <x v="0"/>
    <x v="3"/>
    <x v="14"/>
    <s v="Equipment Item 177"/>
    <n v="1037.71"/>
    <n v="9"/>
    <n v="165.67"/>
    <x v="0"/>
    <n v="0.15964961309036241"/>
    <x v="10"/>
    <x v="1"/>
  </r>
  <r>
    <s v="O-10316"/>
    <d v="2023-02-23T00:00:00"/>
    <x v="0"/>
    <x v="4"/>
    <x v="10"/>
    <s v="Furniture Item 98"/>
    <n v="983.6"/>
    <n v="2"/>
    <n v="196.16"/>
    <x v="2"/>
    <n v="0.1994306628710858"/>
    <x v="10"/>
    <x v="1"/>
  </r>
  <r>
    <s v="O-10317"/>
    <d v="2023-02-24T00:00:00"/>
    <x v="2"/>
    <x v="0"/>
    <x v="11"/>
    <s v="Laptops Item 170"/>
    <n v="1984.42"/>
    <n v="6"/>
    <n v="277.39999999999998"/>
    <x v="2"/>
    <n v="0.13978895596698279"/>
    <x v="10"/>
    <x v="1"/>
  </r>
  <r>
    <s v="O-10318"/>
    <d v="2023-02-25T00:00:00"/>
    <x v="2"/>
    <x v="1"/>
    <x v="1"/>
    <s v="Makeup Item 18"/>
    <n v="1270.49"/>
    <n v="1"/>
    <n v="105.31"/>
    <x v="2"/>
    <n v="8.2889278939621724E-2"/>
    <x v="10"/>
    <x v="1"/>
  </r>
  <r>
    <s v="O-10319"/>
    <d v="2023-02-26T00:00:00"/>
    <x v="0"/>
    <x v="2"/>
    <x v="3"/>
    <s v="Men Item 100"/>
    <n v="1819.88"/>
    <n v="7"/>
    <n v="378.78"/>
    <x v="2"/>
    <n v="0.20813460228146907"/>
    <x v="10"/>
    <x v="1"/>
  </r>
  <r>
    <s v="O-10320"/>
    <d v="2023-02-27T00:00:00"/>
    <x v="3"/>
    <x v="2"/>
    <x v="6"/>
    <s v="Kids Item 78"/>
    <n v="1034.98"/>
    <n v="5"/>
    <n v="272.82"/>
    <x v="0"/>
    <n v="0.26359929660476528"/>
    <x v="10"/>
    <x v="1"/>
  </r>
  <r>
    <s v="O-10321"/>
    <d v="2023-02-28T00:00:00"/>
    <x v="1"/>
    <x v="4"/>
    <x v="12"/>
    <s v="Decor Item 62"/>
    <n v="212.84"/>
    <n v="8"/>
    <n v="41.47"/>
    <x v="2"/>
    <n v="0.19484119526404811"/>
    <x v="10"/>
    <x v="1"/>
  </r>
  <r>
    <s v="O-10322"/>
    <d v="2023-03-01T00:00:00"/>
    <x v="3"/>
    <x v="3"/>
    <x v="14"/>
    <s v="Equipment Item 130"/>
    <n v="208.62"/>
    <n v="1"/>
    <n v="30.83"/>
    <x v="1"/>
    <n v="0.14778065382034319"/>
    <x v="11"/>
    <x v="1"/>
  </r>
  <r>
    <s v="O-10323"/>
    <d v="2023-03-02T00:00:00"/>
    <x v="0"/>
    <x v="3"/>
    <x v="4"/>
    <s v="Fitness Item 66"/>
    <n v="1718.81"/>
    <n v="5"/>
    <n v="225.68"/>
    <x v="2"/>
    <n v="0.13130014370407433"/>
    <x v="11"/>
    <x v="1"/>
  </r>
  <r>
    <s v="O-10324"/>
    <d v="2023-03-03T00:00:00"/>
    <x v="1"/>
    <x v="3"/>
    <x v="14"/>
    <s v="Equipment Item 184"/>
    <n v="805.39"/>
    <n v="7"/>
    <n v="131.63999999999999"/>
    <x v="0"/>
    <n v="0.16344876395286753"/>
    <x v="11"/>
    <x v="1"/>
  </r>
  <r>
    <s v="O-10325"/>
    <d v="2023-03-04T00:00:00"/>
    <x v="2"/>
    <x v="4"/>
    <x v="10"/>
    <s v="Furniture Item 10"/>
    <n v="165.52"/>
    <n v="9"/>
    <n v="26.11"/>
    <x v="1"/>
    <n v="0.15774528757854034"/>
    <x v="11"/>
    <x v="1"/>
  </r>
  <r>
    <s v="O-10326"/>
    <d v="2023-03-05T00:00:00"/>
    <x v="2"/>
    <x v="1"/>
    <x v="8"/>
    <s v="Skincare Item 8"/>
    <n v="1241.95"/>
    <n v="1"/>
    <n v="140.5"/>
    <x v="2"/>
    <n v="0.11312854784814202"/>
    <x v="11"/>
    <x v="1"/>
  </r>
  <r>
    <s v="O-10327"/>
    <d v="2023-03-06T00:00:00"/>
    <x v="2"/>
    <x v="2"/>
    <x v="2"/>
    <s v="Women Item 121"/>
    <n v="1218.97"/>
    <n v="5"/>
    <n v="223.53"/>
    <x v="0"/>
    <n v="0.18337612902696537"/>
    <x v="11"/>
    <x v="1"/>
  </r>
  <r>
    <s v="O-10328"/>
    <d v="2023-03-07T00:00:00"/>
    <x v="0"/>
    <x v="4"/>
    <x v="12"/>
    <s v="Decor Item 120"/>
    <n v="1615.23"/>
    <n v="6"/>
    <n v="163.88"/>
    <x v="2"/>
    <n v="0.10145923490772212"/>
    <x v="11"/>
    <x v="1"/>
  </r>
  <r>
    <s v="O-10329"/>
    <d v="2023-03-08T00:00:00"/>
    <x v="1"/>
    <x v="0"/>
    <x v="11"/>
    <s v="Laptops Item 130"/>
    <n v="263.48"/>
    <n v="5"/>
    <n v="74.87"/>
    <x v="0"/>
    <n v="0.28415819037498102"/>
    <x v="11"/>
    <x v="1"/>
  </r>
  <r>
    <s v="O-10330"/>
    <d v="2023-03-09T00:00:00"/>
    <x v="2"/>
    <x v="2"/>
    <x v="2"/>
    <s v="Women Item 119"/>
    <n v="464.91"/>
    <n v="5"/>
    <n v="131.79"/>
    <x v="2"/>
    <n v="0.2834742208169323"/>
    <x v="11"/>
    <x v="1"/>
  </r>
  <r>
    <s v="O-10331"/>
    <d v="2023-03-10T00:00:00"/>
    <x v="3"/>
    <x v="0"/>
    <x v="7"/>
    <s v="Accessories Item 179"/>
    <n v="102.31"/>
    <n v="4"/>
    <n v="30.35"/>
    <x v="2"/>
    <n v="0.29664744404261556"/>
    <x v="11"/>
    <x v="1"/>
  </r>
  <r>
    <s v="O-10332"/>
    <d v="2023-03-11T00:00:00"/>
    <x v="1"/>
    <x v="2"/>
    <x v="6"/>
    <s v="Kids Item 43"/>
    <n v="54.41"/>
    <n v="9"/>
    <n v="11.41"/>
    <x v="1"/>
    <n v="0.20970409851130309"/>
    <x v="11"/>
    <x v="1"/>
  </r>
  <r>
    <s v="O-10333"/>
    <d v="2023-03-12T00:00:00"/>
    <x v="3"/>
    <x v="3"/>
    <x v="5"/>
    <s v="Outdoor Item 39"/>
    <n v="920.38"/>
    <n v="2"/>
    <n v="124.86"/>
    <x v="2"/>
    <n v="0.13566135726547729"/>
    <x v="11"/>
    <x v="1"/>
  </r>
  <r>
    <s v="O-10334"/>
    <d v="2023-03-13T00:00:00"/>
    <x v="0"/>
    <x v="0"/>
    <x v="0"/>
    <s v="Cameras Item 84"/>
    <n v="268.97000000000003"/>
    <n v="4"/>
    <n v="60.83"/>
    <x v="0"/>
    <n v="0.22615905119530055"/>
    <x v="11"/>
    <x v="1"/>
  </r>
  <r>
    <s v="O-10335"/>
    <d v="2023-03-14T00:00:00"/>
    <x v="1"/>
    <x v="0"/>
    <x v="0"/>
    <s v="Cameras Item 8"/>
    <n v="1940.43"/>
    <n v="1"/>
    <n v="451.55"/>
    <x v="1"/>
    <n v="0.23270615275995526"/>
    <x v="11"/>
    <x v="1"/>
  </r>
  <r>
    <s v="O-10336"/>
    <d v="2023-03-15T00:00:00"/>
    <x v="3"/>
    <x v="2"/>
    <x v="6"/>
    <s v="Kids Item 96"/>
    <n v="484.43"/>
    <n v="6"/>
    <n v="55.14"/>
    <x v="2"/>
    <n v="0.1138244947670458"/>
    <x v="11"/>
    <x v="1"/>
  </r>
  <r>
    <s v="O-10337"/>
    <d v="2023-03-16T00:00:00"/>
    <x v="2"/>
    <x v="0"/>
    <x v="0"/>
    <s v="Cameras Item 55"/>
    <n v="1957.69"/>
    <n v="2"/>
    <n v="217.38"/>
    <x v="2"/>
    <n v="0.11103903069433874"/>
    <x v="11"/>
    <x v="1"/>
  </r>
  <r>
    <s v="O-10338"/>
    <d v="2023-03-17T00:00:00"/>
    <x v="0"/>
    <x v="2"/>
    <x v="3"/>
    <s v="Men Item 136"/>
    <n v="1731.93"/>
    <n v="1"/>
    <n v="99.75"/>
    <x v="0"/>
    <n v="5.7594706483518388E-2"/>
    <x v="11"/>
    <x v="1"/>
  </r>
  <r>
    <s v="O-10339"/>
    <d v="2023-03-18T00:00:00"/>
    <x v="3"/>
    <x v="0"/>
    <x v="7"/>
    <s v="Accessories Item 46"/>
    <n v="1838.98"/>
    <n v="1"/>
    <n v="191.1"/>
    <x v="2"/>
    <n v="0.1039163014279655"/>
    <x v="11"/>
    <x v="1"/>
  </r>
  <r>
    <s v="O-10340"/>
    <d v="2023-03-19T00:00:00"/>
    <x v="1"/>
    <x v="2"/>
    <x v="2"/>
    <s v="Women Item 53"/>
    <n v="1340.6"/>
    <n v="9"/>
    <n v="102.75"/>
    <x v="2"/>
    <n v="7.6644785916753694E-2"/>
    <x v="11"/>
    <x v="1"/>
  </r>
  <r>
    <s v="O-10341"/>
    <d v="2023-03-20T00:00:00"/>
    <x v="2"/>
    <x v="3"/>
    <x v="4"/>
    <s v="Fitness Item 194"/>
    <n v="1998.84"/>
    <n v="6"/>
    <n v="258.91000000000003"/>
    <x v="2"/>
    <n v="0.12953012747393489"/>
    <x v="11"/>
    <x v="1"/>
  </r>
  <r>
    <s v="O-10342"/>
    <d v="2023-03-21T00:00:00"/>
    <x v="0"/>
    <x v="2"/>
    <x v="6"/>
    <s v="Kids Item 169"/>
    <n v="1986.81"/>
    <n v="9"/>
    <n v="144.28"/>
    <x v="0"/>
    <n v="7.2618921789199778E-2"/>
    <x v="11"/>
    <x v="1"/>
  </r>
  <r>
    <s v="O-10343"/>
    <d v="2023-03-22T00:00:00"/>
    <x v="1"/>
    <x v="1"/>
    <x v="13"/>
    <s v="Haircare Item 68"/>
    <n v="1308.01"/>
    <n v="6"/>
    <n v="172.34"/>
    <x v="1"/>
    <n v="0.13175740246634202"/>
    <x v="11"/>
    <x v="1"/>
  </r>
  <r>
    <s v="O-10344"/>
    <d v="2023-03-23T00:00:00"/>
    <x v="3"/>
    <x v="2"/>
    <x v="2"/>
    <s v="Women Item 19"/>
    <n v="1619.53"/>
    <n v="2"/>
    <n v="436.42"/>
    <x v="0"/>
    <n v="0.2694732422369453"/>
    <x v="11"/>
    <x v="1"/>
  </r>
  <r>
    <s v="O-10345"/>
    <d v="2023-03-24T00:00:00"/>
    <x v="3"/>
    <x v="4"/>
    <x v="10"/>
    <s v="Furniture Item 83"/>
    <n v="1740.42"/>
    <n v="1"/>
    <n v="139.32"/>
    <x v="1"/>
    <n v="8.0049643189574929E-2"/>
    <x v="11"/>
    <x v="1"/>
  </r>
  <r>
    <s v="O-10346"/>
    <d v="2023-03-25T00:00:00"/>
    <x v="2"/>
    <x v="1"/>
    <x v="8"/>
    <s v="Skincare Item 89"/>
    <n v="670.19"/>
    <n v="1"/>
    <n v="94.91"/>
    <x v="0"/>
    <n v="0.14161655649890328"/>
    <x v="11"/>
    <x v="1"/>
  </r>
  <r>
    <s v="O-10347"/>
    <d v="2023-03-26T00:00:00"/>
    <x v="1"/>
    <x v="4"/>
    <x v="15"/>
    <s v="Appliances Item 143"/>
    <n v="1397.03"/>
    <n v="9"/>
    <n v="278.18"/>
    <x v="2"/>
    <n v="0.19912242399948463"/>
    <x v="11"/>
    <x v="1"/>
  </r>
  <r>
    <s v="O-10348"/>
    <d v="2023-03-27T00:00:00"/>
    <x v="2"/>
    <x v="1"/>
    <x v="1"/>
    <s v="Makeup Item 35"/>
    <n v="469.99"/>
    <n v="3"/>
    <n v="43.29"/>
    <x v="1"/>
    <n v="9.2108342730696388E-2"/>
    <x v="11"/>
    <x v="1"/>
  </r>
  <r>
    <s v="O-10349"/>
    <d v="2023-03-28T00:00:00"/>
    <x v="1"/>
    <x v="2"/>
    <x v="3"/>
    <s v="Men Item 85"/>
    <n v="1729.4"/>
    <n v="2"/>
    <n v="293.64"/>
    <x v="1"/>
    <n v="0.16979299178905977"/>
    <x v="11"/>
    <x v="1"/>
  </r>
  <r>
    <s v="O-10350"/>
    <d v="2023-03-29T00:00:00"/>
    <x v="2"/>
    <x v="2"/>
    <x v="2"/>
    <s v="Women Item 154"/>
    <n v="235.66"/>
    <n v="5"/>
    <n v="35.28"/>
    <x v="0"/>
    <n v="0.14970720529576509"/>
    <x v="11"/>
    <x v="1"/>
  </r>
  <r>
    <s v="O-10351"/>
    <d v="2023-03-30T00:00:00"/>
    <x v="2"/>
    <x v="4"/>
    <x v="10"/>
    <s v="Furniture Item 44"/>
    <n v="963.86"/>
    <n v="7"/>
    <n v="244.09"/>
    <x v="2"/>
    <n v="0.25324217209968253"/>
    <x v="11"/>
    <x v="1"/>
  </r>
  <r>
    <s v="O-10352"/>
    <d v="2023-03-31T00:00:00"/>
    <x v="1"/>
    <x v="2"/>
    <x v="6"/>
    <s v="Kids Item 108"/>
    <n v="1911.94"/>
    <n v="5"/>
    <n v="189.18"/>
    <x v="1"/>
    <n v="9.8946619663796975E-2"/>
    <x v="11"/>
    <x v="1"/>
  </r>
  <r>
    <s v="O-10353"/>
    <d v="2023-04-01T00:00:00"/>
    <x v="1"/>
    <x v="1"/>
    <x v="1"/>
    <s v="Makeup Item 47"/>
    <n v="161.13"/>
    <n v="9"/>
    <n v="34.43"/>
    <x v="2"/>
    <n v="0.21367839632594798"/>
    <x v="0"/>
    <x v="1"/>
  </r>
  <r>
    <s v="O-10354"/>
    <d v="2023-04-02T00:00:00"/>
    <x v="2"/>
    <x v="1"/>
    <x v="13"/>
    <s v="Haircare Item 15"/>
    <n v="410.37"/>
    <n v="6"/>
    <n v="40.479999999999997"/>
    <x v="1"/>
    <n v="9.8642688305675352E-2"/>
    <x v="0"/>
    <x v="1"/>
  </r>
  <r>
    <s v="O-10355"/>
    <d v="2023-04-03T00:00:00"/>
    <x v="0"/>
    <x v="3"/>
    <x v="5"/>
    <s v="Outdoor Item 125"/>
    <n v="1242.3599999999999"/>
    <n v="5"/>
    <n v="150.6"/>
    <x v="2"/>
    <n v="0.12122090215396504"/>
    <x v="0"/>
    <x v="1"/>
  </r>
  <r>
    <s v="O-10356"/>
    <d v="2023-04-04T00:00:00"/>
    <x v="1"/>
    <x v="4"/>
    <x v="10"/>
    <s v="Furniture Item 157"/>
    <n v="1609.99"/>
    <n v="3"/>
    <n v="314.32"/>
    <x v="2"/>
    <n v="0.19523102627966632"/>
    <x v="0"/>
    <x v="1"/>
  </r>
  <r>
    <s v="O-10357"/>
    <d v="2023-04-05T00:00:00"/>
    <x v="0"/>
    <x v="1"/>
    <x v="1"/>
    <s v="Makeup Item 164"/>
    <n v="1440.92"/>
    <n v="2"/>
    <n v="170.25"/>
    <x v="1"/>
    <n v="0.11815367959359298"/>
    <x v="0"/>
    <x v="1"/>
  </r>
  <r>
    <s v="O-10358"/>
    <d v="2023-04-06T00:00:00"/>
    <x v="0"/>
    <x v="4"/>
    <x v="12"/>
    <s v="Decor Item 90"/>
    <n v="261.33"/>
    <n v="7"/>
    <n v="57.57"/>
    <x v="1"/>
    <n v="0.22029617724715878"/>
    <x v="0"/>
    <x v="1"/>
  </r>
  <r>
    <s v="O-10359"/>
    <d v="2023-04-07T00:00:00"/>
    <x v="3"/>
    <x v="0"/>
    <x v="7"/>
    <s v="Accessories Item 39"/>
    <n v="1059.82"/>
    <n v="7"/>
    <n v="131.22999999999999"/>
    <x v="0"/>
    <n v="0.12382291332490422"/>
    <x v="0"/>
    <x v="1"/>
  </r>
  <r>
    <s v="O-10360"/>
    <d v="2023-04-08T00:00:00"/>
    <x v="3"/>
    <x v="1"/>
    <x v="8"/>
    <s v="Skincare Item 170"/>
    <n v="386.75"/>
    <n v="8"/>
    <n v="112.44"/>
    <x v="0"/>
    <n v="0.29073044602456366"/>
    <x v="0"/>
    <x v="1"/>
  </r>
  <r>
    <s v="O-10361"/>
    <d v="2023-04-09T00:00:00"/>
    <x v="2"/>
    <x v="0"/>
    <x v="9"/>
    <s v="Phones Item 118"/>
    <n v="1615.87"/>
    <n v="1"/>
    <n v="231.68"/>
    <x v="2"/>
    <n v="0.14337787074455249"/>
    <x v="0"/>
    <x v="1"/>
  </r>
  <r>
    <s v="O-10362"/>
    <d v="2023-04-10T00:00:00"/>
    <x v="1"/>
    <x v="3"/>
    <x v="14"/>
    <s v="Equipment Item 106"/>
    <n v="242.36"/>
    <n v="7"/>
    <n v="50.77"/>
    <x v="1"/>
    <n v="0.20948176266710677"/>
    <x v="0"/>
    <x v="1"/>
  </r>
  <r>
    <s v="O-10363"/>
    <d v="2023-04-11T00:00:00"/>
    <x v="1"/>
    <x v="0"/>
    <x v="0"/>
    <s v="Cameras Item 137"/>
    <n v="1591.61"/>
    <n v="8"/>
    <n v="243.13"/>
    <x v="0"/>
    <n v="0.15275727093948896"/>
    <x v="0"/>
    <x v="1"/>
  </r>
  <r>
    <s v="O-10364"/>
    <d v="2023-04-12T00:00:00"/>
    <x v="2"/>
    <x v="0"/>
    <x v="0"/>
    <s v="Cameras Item 170"/>
    <n v="1802.05"/>
    <n v="1"/>
    <n v="196.82"/>
    <x v="1"/>
    <n v="0.10922005493743236"/>
    <x v="0"/>
    <x v="1"/>
  </r>
  <r>
    <s v="O-10365"/>
    <d v="2023-04-13T00:00:00"/>
    <x v="3"/>
    <x v="2"/>
    <x v="3"/>
    <s v="Men Item 68"/>
    <n v="564.12"/>
    <n v="3"/>
    <n v="148.25"/>
    <x v="2"/>
    <n v="0.26279869531305394"/>
    <x v="0"/>
    <x v="1"/>
  </r>
  <r>
    <s v="O-10366"/>
    <d v="2023-04-14T00:00:00"/>
    <x v="0"/>
    <x v="1"/>
    <x v="1"/>
    <s v="Makeup Item 89"/>
    <n v="209.16"/>
    <n v="4"/>
    <n v="18.29"/>
    <x v="2"/>
    <n v="8.7445018167909727E-2"/>
    <x v="0"/>
    <x v="1"/>
  </r>
  <r>
    <s v="O-10367"/>
    <d v="2023-04-15T00:00:00"/>
    <x v="3"/>
    <x v="2"/>
    <x v="6"/>
    <s v="Kids Item 69"/>
    <n v="352.67"/>
    <n v="3"/>
    <n v="94.27"/>
    <x v="1"/>
    <n v="0.26730371168514472"/>
    <x v="0"/>
    <x v="1"/>
  </r>
  <r>
    <s v="O-10368"/>
    <d v="2023-04-16T00:00:00"/>
    <x v="3"/>
    <x v="0"/>
    <x v="11"/>
    <s v="Laptops Item 119"/>
    <n v="1080.01"/>
    <n v="6"/>
    <n v="60.38"/>
    <x v="2"/>
    <n v="5.590688975102083E-2"/>
    <x v="0"/>
    <x v="1"/>
  </r>
  <r>
    <s v="O-10369"/>
    <d v="2023-04-17T00:00:00"/>
    <x v="0"/>
    <x v="3"/>
    <x v="14"/>
    <s v="Equipment Item 163"/>
    <n v="1222.05"/>
    <n v="9"/>
    <n v="180.53"/>
    <x v="2"/>
    <n v="0.14772717973896321"/>
    <x v="0"/>
    <x v="1"/>
  </r>
  <r>
    <s v="O-10370"/>
    <d v="2023-04-18T00:00:00"/>
    <x v="2"/>
    <x v="2"/>
    <x v="2"/>
    <s v="Women Item 185"/>
    <n v="1003.6"/>
    <n v="2"/>
    <n v="119.06"/>
    <x v="0"/>
    <n v="0.11863292148266241"/>
    <x v="0"/>
    <x v="1"/>
  </r>
  <r>
    <s v="O-10371"/>
    <d v="2023-04-19T00:00:00"/>
    <x v="1"/>
    <x v="3"/>
    <x v="14"/>
    <s v="Equipment Item 85"/>
    <n v="1358.17"/>
    <n v="6"/>
    <n v="219.27"/>
    <x v="0"/>
    <n v="0.16144517991120405"/>
    <x v="0"/>
    <x v="1"/>
  </r>
  <r>
    <s v="O-10372"/>
    <d v="2023-04-20T00:00:00"/>
    <x v="3"/>
    <x v="1"/>
    <x v="8"/>
    <s v="Skincare Item 24"/>
    <n v="274.22000000000003"/>
    <n v="3"/>
    <n v="55.06"/>
    <x v="1"/>
    <n v="0.20078768871708846"/>
    <x v="0"/>
    <x v="1"/>
  </r>
  <r>
    <s v="O-10373"/>
    <d v="2023-04-21T00:00:00"/>
    <x v="2"/>
    <x v="4"/>
    <x v="12"/>
    <s v="Decor Item 42"/>
    <n v="1812.94"/>
    <n v="4"/>
    <n v="129.47"/>
    <x v="1"/>
    <n v="7.1414387679680516E-2"/>
    <x v="0"/>
    <x v="1"/>
  </r>
  <r>
    <s v="O-10374"/>
    <d v="2023-04-22T00:00:00"/>
    <x v="1"/>
    <x v="4"/>
    <x v="15"/>
    <s v="Appliances Item 164"/>
    <n v="399.9"/>
    <n v="8"/>
    <n v="56.68"/>
    <x v="0"/>
    <n v="0.14173543385846463"/>
    <x v="0"/>
    <x v="1"/>
  </r>
  <r>
    <s v="O-10375"/>
    <d v="2023-04-23T00:00:00"/>
    <x v="3"/>
    <x v="1"/>
    <x v="8"/>
    <s v="Skincare Item 169"/>
    <n v="1241.97"/>
    <n v="1"/>
    <n v="320.39"/>
    <x v="0"/>
    <n v="0.25796919410291713"/>
    <x v="0"/>
    <x v="1"/>
  </r>
  <r>
    <s v="O-10376"/>
    <d v="2023-04-24T00:00:00"/>
    <x v="0"/>
    <x v="1"/>
    <x v="8"/>
    <s v="Skincare Item 172"/>
    <n v="482.75"/>
    <n v="5"/>
    <n v="56.86"/>
    <x v="0"/>
    <n v="0.11778353184878301"/>
    <x v="0"/>
    <x v="1"/>
  </r>
  <r>
    <s v="O-10377"/>
    <d v="2023-04-25T00:00:00"/>
    <x v="2"/>
    <x v="2"/>
    <x v="3"/>
    <s v="Men Item 50"/>
    <n v="1366.66"/>
    <n v="3"/>
    <n v="133.36000000000001"/>
    <x v="1"/>
    <n v="9.7580963809579563E-2"/>
    <x v="0"/>
    <x v="1"/>
  </r>
  <r>
    <s v="O-10378"/>
    <d v="2023-04-26T00:00:00"/>
    <x v="3"/>
    <x v="1"/>
    <x v="8"/>
    <s v="Skincare Item 172"/>
    <n v="1330.44"/>
    <n v="1"/>
    <n v="397.63"/>
    <x v="2"/>
    <n v="0.29887105017888815"/>
    <x v="0"/>
    <x v="1"/>
  </r>
  <r>
    <s v="O-10379"/>
    <d v="2023-04-27T00:00:00"/>
    <x v="1"/>
    <x v="1"/>
    <x v="13"/>
    <s v="Haircare Item 30"/>
    <n v="680.47"/>
    <n v="6"/>
    <n v="129.68"/>
    <x v="2"/>
    <n v="0.1905741619762811"/>
    <x v="0"/>
    <x v="1"/>
  </r>
  <r>
    <s v="O-10380"/>
    <d v="2023-04-28T00:00:00"/>
    <x v="1"/>
    <x v="3"/>
    <x v="4"/>
    <s v="Fitness Item 197"/>
    <n v="367.1"/>
    <n v="9"/>
    <n v="34"/>
    <x v="0"/>
    <n v="9.2617815309180049E-2"/>
    <x v="0"/>
    <x v="1"/>
  </r>
  <r>
    <s v="O-10381"/>
    <d v="2023-04-29T00:00:00"/>
    <x v="2"/>
    <x v="4"/>
    <x v="12"/>
    <s v="Decor Item 190"/>
    <n v="856.92"/>
    <n v="7"/>
    <n v="204.84"/>
    <x v="1"/>
    <n v="0.23904215095924941"/>
    <x v="0"/>
    <x v="1"/>
  </r>
  <r>
    <s v="O-10382"/>
    <d v="2023-04-30T00:00:00"/>
    <x v="1"/>
    <x v="3"/>
    <x v="4"/>
    <s v="Fitness Item 144"/>
    <n v="1336.53"/>
    <n v="4"/>
    <n v="225.5"/>
    <x v="1"/>
    <n v="0.16872049261894609"/>
    <x v="0"/>
    <x v="1"/>
  </r>
  <r>
    <s v="O-10383"/>
    <d v="2023-05-01T00:00:00"/>
    <x v="0"/>
    <x v="4"/>
    <x v="10"/>
    <s v="Furniture Item 23"/>
    <n v="810.65"/>
    <n v="8"/>
    <n v="44.59"/>
    <x v="1"/>
    <n v="5.5005242706470121E-2"/>
    <x v="1"/>
    <x v="1"/>
  </r>
  <r>
    <s v="O-10384"/>
    <d v="2023-05-02T00:00:00"/>
    <x v="0"/>
    <x v="1"/>
    <x v="1"/>
    <s v="Makeup Item 108"/>
    <n v="502.44"/>
    <n v="5"/>
    <n v="36.79"/>
    <x v="0"/>
    <n v="7.3222673354032319E-2"/>
    <x v="1"/>
    <x v="1"/>
  </r>
  <r>
    <s v="O-10385"/>
    <d v="2023-05-03T00:00:00"/>
    <x v="0"/>
    <x v="0"/>
    <x v="11"/>
    <s v="Laptops Item 32"/>
    <n v="272.87"/>
    <n v="6"/>
    <n v="24.51"/>
    <x v="1"/>
    <n v="8.9822992633854959E-2"/>
    <x v="1"/>
    <x v="1"/>
  </r>
  <r>
    <s v="O-10386"/>
    <d v="2023-05-04T00:00:00"/>
    <x v="2"/>
    <x v="4"/>
    <x v="12"/>
    <s v="Decor Item 142"/>
    <n v="252.95"/>
    <n v="7"/>
    <n v="29.29"/>
    <x v="1"/>
    <n v="0.11579363510575212"/>
    <x v="1"/>
    <x v="1"/>
  </r>
  <r>
    <s v="O-10387"/>
    <d v="2023-05-05T00:00:00"/>
    <x v="2"/>
    <x v="0"/>
    <x v="11"/>
    <s v="Laptops Item 105"/>
    <n v="193.53"/>
    <n v="9"/>
    <n v="36.47"/>
    <x v="1"/>
    <n v="0.18844623572572727"/>
    <x v="1"/>
    <x v="1"/>
  </r>
  <r>
    <s v="O-10388"/>
    <d v="2023-05-06T00:00:00"/>
    <x v="2"/>
    <x v="2"/>
    <x v="6"/>
    <s v="Kids Item 190"/>
    <n v="905.46"/>
    <n v="4"/>
    <n v="242.97"/>
    <x v="0"/>
    <n v="0.26833874494731957"/>
    <x v="1"/>
    <x v="1"/>
  </r>
  <r>
    <s v="O-10389"/>
    <d v="2023-05-07T00:00:00"/>
    <x v="2"/>
    <x v="2"/>
    <x v="3"/>
    <s v="Men Item 163"/>
    <n v="1576.83"/>
    <n v="6"/>
    <n v="302.19"/>
    <x v="0"/>
    <n v="0.19164399459675424"/>
    <x v="1"/>
    <x v="1"/>
  </r>
  <r>
    <s v="O-10390"/>
    <d v="2023-05-08T00:00:00"/>
    <x v="3"/>
    <x v="4"/>
    <x v="15"/>
    <s v="Appliances Item 12"/>
    <n v="1862.58"/>
    <n v="6"/>
    <n v="473.77"/>
    <x v="1"/>
    <n v="0.25436222873648379"/>
    <x v="1"/>
    <x v="1"/>
  </r>
  <r>
    <s v="O-10391"/>
    <d v="2023-05-09T00:00:00"/>
    <x v="0"/>
    <x v="1"/>
    <x v="8"/>
    <s v="Skincare Item 158"/>
    <n v="1448.42"/>
    <n v="3"/>
    <n v="358.49"/>
    <x v="0"/>
    <n v="0.24750417696524488"/>
    <x v="1"/>
    <x v="1"/>
  </r>
  <r>
    <s v="O-10392"/>
    <d v="2023-05-10T00:00:00"/>
    <x v="2"/>
    <x v="1"/>
    <x v="8"/>
    <s v="Skincare Item 73"/>
    <n v="658.61"/>
    <n v="3"/>
    <n v="61.5"/>
    <x v="0"/>
    <n v="9.337847891772065E-2"/>
    <x v="1"/>
    <x v="1"/>
  </r>
  <r>
    <s v="O-10393"/>
    <d v="2023-05-11T00:00:00"/>
    <x v="2"/>
    <x v="3"/>
    <x v="14"/>
    <s v="Equipment Item 163"/>
    <n v="705.28"/>
    <n v="4"/>
    <n v="136.30000000000001"/>
    <x v="2"/>
    <n v="0.19325657894736845"/>
    <x v="1"/>
    <x v="1"/>
  </r>
  <r>
    <s v="O-10394"/>
    <d v="2023-05-12T00:00:00"/>
    <x v="0"/>
    <x v="1"/>
    <x v="13"/>
    <s v="Haircare Item 25"/>
    <n v="1158.82"/>
    <n v="6"/>
    <n v="148.83000000000001"/>
    <x v="1"/>
    <n v="0.1284323708600128"/>
    <x v="1"/>
    <x v="1"/>
  </r>
  <r>
    <s v="O-10395"/>
    <d v="2023-05-13T00:00:00"/>
    <x v="3"/>
    <x v="3"/>
    <x v="4"/>
    <s v="Fitness Item 14"/>
    <n v="295.61"/>
    <n v="6"/>
    <n v="76.069999999999993"/>
    <x v="1"/>
    <n v="0.25733229593044887"/>
    <x v="1"/>
    <x v="1"/>
  </r>
  <r>
    <s v="O-10396"/>
    <d v="2023-05-14T00:00:00"/>
    <x v="1"/>
    <x v="1"/>
    <x v="8"/>
    <s v="Skincare Item 131"/>
    <n v="1906.54"/>
    <n v="6"/>
    <n v="165.09"/>
    <x v="0"/>
    <n v="8.6591416912312355E-2"/>
    <x v="1"/>
    <x v="1"/>
  </r>
  <r>
    <s v="O-10397"/>
    <d v="2023-05-15T00:00:00"/>
    <x v="0"/>
    <x v="1"/>
    <x v="13"/>
    <s v="Haircare Item 136"/>
    <n v="966.9"/>
    <n v="4"/>
    <n v="81.02"/>
    <x v="2"/>
    <n v="8.3793567070017574E-2"/>
    <x v="1"/>
    <x v="1"/>
  </r>
  <r>
    <s v="O-10398"/>
    <d v="2023-05-16T00:00:00"/>
    <x v="1"/>
    <x v="1"/>
    <x v="1"/>
    <s v="Makeup Item 173"/>
    <n v="1108.07"/>
    <n v="4"/>
    <n v="177.16"/>
    <x v="2"/>
    <n v="0.15988159592805509"/>
    <x v="1"/>
    <x v="1"/>
  </r>
  <r>
    <s v="O-10399"/>
    <d v="2023-05-17T00:00:00"/>
    <x v="2"/>
    <x v="3"/>
    <x v="14"/>
    <s v="Equipment Item 134"/>
    <n v="20.66"/>
    <n v="2"/>
    <n v="4.3899999999999997"/>
    <x v="1"/>
    <n v="0.21248789932236203"/>
    <x v="1"/>
    <x v="1"/>
  </r>
  <r>
    <s v="O-10400"/>
    <d v="2023-05-18T00:00:00"/>
    <x v="1"/>
    <x v="3"/>
    <x v="14"/>
    <s v="Equipment Item 31"/>
    <n v="141.47"/>
    <n v="3"/>
    <n v="13.86"/>
    <x v="2"/>
    <n v="9.7971301335972288E-2"/>
    <x v="1"/>
    <x v="1"/>
  </r>
  <r>
    <s v="O-10401"/>
    <d v="2023-05-19T00:00:00"/>
    <x v="0"/>
    <x v="3"/>
    <x v="5"/>
    <s v="Outdoor Item 130"/>
    <n v="979.51"/>
    <n v="2"/>
    <n v="63.12"/>
    <x v="1"/>
    <n v="6.4440383457034636E-2"/>
    <x v="1"/>
    <x v="1"/>
  </r>
  <r>
    <s v="O-10402"/>
    <d v="2023-05-20T00:00:00"/>
    <x v="0"/>
    <x v="1"/>
    <x v="13"/>
    <s v="Haircare Item 83"/>
    <n v="357.92"/>
    <n v="5"/>
    <n v="28.76"/>
    <x v="1"/>
    <n v="8.0353151542244081E-2"/>
    <x v="1"/>
    <x v="1"/>
  </r>
  <r>
    <s v="O-10403"/>
    <d v="2023-05-21T00:00:00"/>
    <x v="1"/>
    <x v="3"/>
    <x v="4"/>
    <s v="Fitness Item 115"/>
    <n v="371.98"/>
    <n v="1"/>
    <n v="65.97"/>
    <x v="1"/>
    <n v="0.17734824452927575"/>
    <x v="1"/>
    <x v="1"/>
  </r>
  <r>
    <s v="O-10404"/>
    <d v="2023-05-22T00:00:00"/>
    <x v="3"/>
    <x v="4"/>
    <x v="10"/>
    <s v="Furniture Item 40"/>
    <n v="1631.66"/>
    <n v="7"/>
    <n v="171.65"/>
    <x v="1"/>
    <n v="0.10519961266440313"/>
    <x v="1"/>
    <x v="1"/>
  </r>
  <r>
    <s v="O-10405"/>
    <d v="2023-05-23T00:00:00"/>
    <x v="0"/>
    <x v="3"/>
    <x v="14"/>
    <s v="Equipment Item 52"/>
    <n v="1318.33"/>
    <n v="6"/>
    <n v="206.35"/>
    <x v="0"/>
    <n v="0.15652378387808819"/>
    <x v="1"/>
    <x v="1"/>
  </r>
  <r>
    <s v="O-10406"/>
    <d v="2023-05-24T00:00:00"/>
    <x v="1"/>
    <x v="0"/>
    <x v="0"/>
    <s v="Cameras Item 116"/>
    <n v="821.5"/>
    <n v="3"/>
    <n v="116.6"/>
    <x v="2"/>
    <n v="0.14193548387096774"/>
    <x v="1"/>
    <x v="1"/>
  </r>
  <r>
    <s v="O-10407"/>
    <d v="2023-05-25T00:00:00"/>
    <x v="3"/>
    <x v="0"/>
    <x v="0"/>
    <s v="Cameras Item 14"/>
    <n v="370.24"/>
    <n v="6"/>
    <n v="107.72"/>
    <x v="2"/>
    <n v="0.29094641313742436"/>
    <x v="1"/>
    <x v="1"/>
  </r>
  <r>
    <s v="O-10408"/>
    <d v="2023-05-26T00:00:00"/>
    <x v="1"/>
    <x v="0"/>
    <x v="9"/>
    <s v="Phones Item 130"/>
    <n v="284.93"/>
    <n v="5"/>
    <n v="15.61"/>
    <x v="2"/>
    <n v="5.4785385884252268E-2"/>
    <x v="1"/>
    <x v="1"/>
  </r>
  <r>
    <s v="O-10409"/>
    <d v="2023-05-27T00:00:00"/>
    <x v="1"/>
    <x v="1"/>
    <x v="13"/>
    <s v="Haircare Item 149"/>
    <n v="1525.37"/>
    <n v="8"/>
    <n v="280.41000000000003"/>
    <x v="0"/>
    <n v="0.18383080826291329"/>
    <x v="1"/>
    <x v="1"/>
  </r>
  <r>
    <s v="O-10410"/>
    <d v="2023-05-28T00:00:00"/>
    <x v="3"/>
    <x v="4"/>
    <x v="15"/>
    <s v="Appliances Item 13"/>
    <n v="44"/>
    <n v="2"/>
    <n v="9.1199999999999992"/>
    <x v="1"/>
    <n v="0.20727272727272725"/>
    <x v="1"/>
    <x v="1"/>
  </r>
  <r>
    <s v="O-10411"/>
    <d v="2023-05-29T00:00:00"/>
    <x v="3"/>
    <x v="4"/>
    <x v="15"/>
    <s v="Appliances Item 82"/>
    <n v="147.94"/>
    <n v="4"/>
    <n v="21.13"/>
    <x v="2"/>
    <n v="0.14282817358388536"/>
    <x v="1"/>
    <x v="1"/>
  </r>
  <r>
    <s v="O-10412"/>
    <d v="2023-05-30T00:00:00"/>
    <x v="1"/>
    <x v="2"/>
    <x v="3"/>
    <s v="Men Item 188"/>
    <n v="1299.26"/>
    <n v="5"/>
    <n v="339.22"/>
    <x v="0"/>
    <n v="0.26108708033803862"/>
    <x v="1"/>
    <x v="1"/>
  </r>
  <r>
    <s v="O-10413"/>
    <d v="2023-05-31T00:00:00"/>
    <x v="0"/>
    <x v="2"/>
    <x v="2"/>
    <s v="Women Item 117"/>
    <n v="986.72"/>
    <n v="4"/>
    <n v="262.63"/>
    <x v="2"/>
    <n v="0.26616466677476891"/>
    <x v="1"/>
    <x v="1"/>
  </r>
  <r>
    <s v="O-10414"/>
    <d v="2023-06-01T00:00:00"/>
    <x v="1"/>
    <x v="2"/>
    <x v="3"/>
    <s v="Men Item 82"/>
    <n v="962.52"/>
    <n v="9"/>
    <n v="195.89"/>
    <x v="0"/>
    <n v="0.20351784897976144"/>
    <x v="2"/>
    <x v="1"/>
  </r>
  <r>
    <s v="O-10415"/>
    <d v="2023-06-02T00:00:00"/>
    <x v="3"/>
    <x v="0"/>
    <x v="11"/>
    <s v="Laptops Item 42"/>
    <n v="1574.33"/>
    <n v="1"/>
    <n v="454.72"/>
    <x v="2"/>
    <n v="0.28883398016934192"/>
    <x v="2"/>
    <x v="1"/>
  </r>
  <r>
    <s v="O-10416"/>
    <d v="2023-06-03T00:00:00"/>
    <x v="2"/>
    <x v="4"/>
    <x v="12"/>
    <s v="Decor Item 120"/>
    <n v="644.51"/>
    <n v="1"/>
    <n v="162.56"/>
    <x v="0"/>
    <n v="0.25222261873361157"/>
    <x v="2"/>
    <x v="1"/>
  </r>
  <r>
    <s v="O-10417"/>
    <d v="2023-06-04T00:00:00"/>
    <x v="0"/>
    <x v="1"/>
    <x v="8"/>
    <s v="Skincare Item 29"/>
    <n v="573.15"/>
    <n v="2"/>
    <n v="34.159999999999997"/>
    <x v="0"/>
    <n v="5.9600453633429293E-2"/>
    <x v="2"/>
    <x v="1"/>
  </r>
  <r>
    <s v="O-10418"/>
    <d v="2023-06-05T00:00:00"/>
    <x v="0"/>
    <x v="2"/>
    <x v="2"/>
    <s v="Women Item 21"/>
    <n v="1653.76"/>
    <n v="7"/>
    <n v="355.29"/>
    <x v="0"/>
    <n v="0.21483770317337464"/>
    <x v="2"/>
    <x v="1"/>
  </r>
  <r>
    <s v="O-10419"/>
    <d v="2023-06-06T00:00:00"/>
    <x v="0"/>
    <x v="4"/>
    <x v="10"/>
    <s v="Furniture Item 177"/>
    <n v="1235.5899999999999"/>
    <n v="7"/>
    <n v="221.91"/>
    <x v="0"/>
    <n v="0.17959841047596695"/>
    <x v="2"/>
    <x v="1"/>
  </r>
  <r>
    <s v="O-10420"/>
    <d v="2023-06-07T00:00:00"/>
    <x v="0"/>
    <x v="3"/>
    <x v="14"/>
    <s v="Equipment Item 69"/>
    <n v="1480.12"/>
    <n v="1"/>
    <n v="238.03"/>
    <x v="1"/>
    <n v="0.16081804178039619"/>
    <x v="2"/>
    <x v="1"/>
  </r>
  <r>
    <s v="O-10421"/>
    <d v="2023-06-08T00:00:00"/>
    <x v="3"/>
    <x v="0"/>
    <x v="11"/>
    <s v="Laptops Item 77"/>
    <n v="95.28"/>
    <n v="7"/>
    <n v="21.83"/>
    <x v="2"/>
    <n v="0.2291141897565071"/>
    <x v="2"/>
    <x v="1"/>
  </r>
  <r>
    <s v="O-10422"/>
    <d v="2023-06-09T00:00:00"/>
    <x v="0"/>
    <x v="0"/>
    <x v="9"/>
    <s v="Phones Item 179"/>
    <n v="161.09"/>
    <n v="8"/>
    <n v="9.49"/>
    <x v="0"/>
    <n v="5.8911167670246449E-2"/>
    <x v="2"/>
    <x v="1"/>
  </r>
  <r>
    <s v="O-10423"/>
    <d v="2023-06-10T00:00:00"/>
    <x v="0"/>
    <x v="0"/>
    <x v="0"/>
    <s v="Cameras Item 21"/>
    <n v="787.44"/>
    <n v="4"/>
    <n v="108.21"/>
    <x v="0"/>
    <n v="0.13741999390429746"/>
    <x v="2"/>
    <x v="1"/>
  </r>
  <r>
    <s v="O-10424"/>
    <d v="2023-06-11T00:00:00"/>
    <x v="1"/>
    <x v="0"/>
    <x v="9"/>
    <s v="Phones Item 135"/>
    <n v="1572.01"/>
    <n v="3"/>
    <n v="147.03"/>
    <x v="0"/>
    <n v="9.3529939376975971E-2"/>
    <x v="2"/>
    <x v="1"/>
  </r>
  <r>
    <s v="O-10425"/>
    <d v="2023-06-12T00:00:00"/>
    <x v="0"/>
    <x v="3"/>
    <x v="4"/>
    <s v="Fitness Item 5"/>
    <n v="1327.4"/>
    <n v="8"/>
    <n v="154.33000000000001"/>
    <x v="0"/>
    <n v="0.11626487871026066"/>
    <x v="2"/>
    <x v="1"/>
  </r>
  <r>
    <s v="O-10426"/>
    <d v="2023-06-13T00:00:00"/>
    <x v="3"/>
    <x v="0"/>
    <x v="11"/>
    <s v="Laptops Item 111"/>
    <n v="182.7"/>
    <n v="1"/>
    <n v="22.63"/>
    <x v="0"/>
    <n v="0.12386425834701698"/>
    <x v="2"/>
    <x v="1"/>
  </r>
  <r>
    <s v="O-10427"/>
    <d v="2023-06-14T00:00:00"/>
    <x v="2"/>
    <x v="3"/>
    <x v="4"/>
    <s v="Fitness Item 153"/>
    <n v="1952.46"/>
    <n v="2"/>
    <n v="102.71"/>
    <x v="0"/>
    <n v="5.2605431097179967E-2"/>
    <x v="2"/>
    <x v="1"/>
  </r>
  <r>
    <s v="O-10428"/>
    <d v="2023-06-15T00:00:00"/>
    <x v="3"/>
    <x v="3"/>
    <x v="14"/>
    <s v="Equipment Item 68"/>
    <n v="1553.77"/>
    <n v="9"/>
    <n v="450.53"/>
    <x v="2"/>
    <n v="0.28995926037959285"/>
    <x v="2"/>
    <x v="1"/>
  </r>
  <r>
    <s v="O-10429"/>
    <d v="2023-06-16T00:00:00"/>
    <x v="1"/>
    <x v="0"/>
    <x v="7"/>
    <s v="Accessories Item 190"/>
    <n v="1793.71"/>
    <n v="5"/>
    <n v="145.84"/>
    <x v="0"/>
    <n v="8.1306342719837651E-2"/>
    <x v="2"/>
    <x v="1"/>
  </r>
  <r>
    <s v="O-10430"/>
    <d v="2023-06-17T00:00:00"/>
    <x v="2"/>
    <x v="4"/>
    <x v="10"/>
    <s v="Furniture Item 2"/>
    <n v="1211.73"/>
    <n v="5"/>
    <n v="339.37"/>
    <x v="1"/>
    <n v="0.28007064279996369"/>
    <x v="2"/>
    <x v="1"/>
  </r>
  <r>
    <s v="O-10431"/>
    <d v="2023-06-18T00:00:00"/>
    <x v="0"/>
    <x v="4"/>
    <x v="12"/>
    <s v="Decor Item 32"/>
    <n v="1319.83"/>
    <n v="1"/>
    <n v="372.22"/>
    <x v="0"/>
    <n v="0.2820211693930279"/>
    <x v="2"/>
    <x v="1"/>
  </r>
  <r>
    <s v="O-10432"/>
    <d v="2023-06-19T00:00:00"/>
    <x v="1"/>
    <x v="4"/>
    <x v="12"/>
    <s v="Decor Item 153"/>
    <n v="764.47"/>
    <n v="9"/>
    <n v="69.510000000000005"/>
    <x v="1"/>
    <n v="9.0925739401153741E-2"/>
    <x v="2"/>
    <x v="1"/>
  </r>
  <r>
    <s v="O-10433"/>
    <d v="2023-06-20T00:00:00"/>
    <x v="1"/>
    <x v="3"/>
    <x v="14"/>
    <s v="Equipment Item 172"/>
    <n v="410.99"/>
    <n v="1"/>
    <n v="86.9"/>
    <x v="0"/>
    <n v="0.21144066765614736"/>
    <x v="2"/>
    <x v="1"/>
  </r>
  <r>
    <s v="O-10434"/>
    <d v="2023-06-21T00:00:00"/>
    <x v="1"/>
    <x v="4"/>
    <x v="12"/>
    <s v="Decor Item 32"/>
    <n v="647.51"/>
    <n v="7"/>
    <n v="169.41"/>
    <x v="1"/>
    <n v="0.26163302497258728"/>
    <x v="2"/>
    <x v="1"/>
  </r>
  <r>
    <s v="O-10435"/>
    <d v="2023-06-22T00:00:00"/>
    <x v="0"/>
    <x v="3"/>
    <x v="5"/>
    <s v="Outdoor Item 175"/>
    <n v="519.44000000000005"/>
    <n v="5"/>
    <n v="153.03"/>
    <x v="1"/>
    <n v="0.29460572924688122"/>
    <x v="2"/>
    <x v="1"/>
  </r>
  <r>
    <s v="O-10436"/>
    <d v="2023-06-23T00:00:00"/>
    <x v="0"/>
    <x v="2"/>
    <x v="3"/>
    <s v="Men Item 104"/>
    <n v="1124.47"/>
    <n v="7"/>
    <n v="240.68"/>
    <x v="1"/>
    <n v="0.21403861374692076"/>
    <x v="2"/>
    <x v="1"/>
  </r>
  <r>
    <s v="O-10437"/>
    <d v="2023-06-24T00:00:00"/>
    <x v="3"/>
    <x v="3"/>
    <x v="14"/>
    <s v="Equipment Item 86"/>
    <n v="1511.31"/>
    <n v="9"/>
    <n v="429.74"/>
    <x v="0"/>
    <n v="0.28434933931489903"/>
    <x v="2"/>
    <x v="1"/>
  </r>
  <r>
    <s v="O-10438"/>
    <d v="2023-06-25T00:00:00"/>
    <x v="3"/>
    <x v="1"/>
    <x v="13"/>
    <s v="Haircare Item 2"/>
    <n v="280.82"/>
    <n v="4"/>
    <n v="71.45"/>
    <x v="0"/>
    <n v="0.25443344491133113"/>
    <x v="2"/>
    <x v="1"/>
  </r>
  <r>
    <s v="O-10439"/>
    <d v="2023-06-26T00:00:00"/>
    <x v="2"/>
    <x v="2"/>
    <x v="3"/>
    <s v="Men Item 151"/>
    <n v="1684.59"/>
    <n v="6"/>
    <n v="312.58999999999997"/>
    <x v="0"/>
    <n v="0.18555850384960138"/>
    <x v="2"/>
    <x v="1"/>
  </r>
  <r>
    <s v="O-10440"/>
    <d v="2023-06-27T00:00:00"/>
    <x v="0"/>
    <x v="2"/>
    <x v="6"/>
    <s v="Kids Item 97"/>
    <n v="1026.55"/>
    <n v="6"/>
    <n v="196.33"/>
    <x v="0"/>
    <n v="0.19125225269105259"/>
    <x v="2"/>
    <x v="1"/>
  </r>
  <r>
    <s v="O-10441"/>
    <d v="2023-06-28T00:00:00"/>
    <x v="3"/>
    <x v="3"/>
    <x v="5"/>
    <s v="Outdoor Item 30"/>
    <n v="1749.18"/>
    <n v="9"/>
    <n v="420.29"/>
    <x v="1"/>
    <n v="0.24027830183285884"/>
    <x v="2"/>
    <x v="1"/>
  </r>
  <r>
    <s v="O-10442"/>
    <d v="2023-06-29T00:00:00"/>
    <x v="0"/>
    <x v="2"/>
    <x v="3"/>
    <s v="Men Item 136"/>
    <n v="933.88"/>
    <n v="8"/>
    <n v="104.29"/>
    <x v="0"/>
    <n v="0.11167387672934424"/>
    <x v="2"/>
    <x v="1"/>
  </r>
  <r>
    <s v="O-10443"/>
    <d v="2023-06-30T00:00:00"/>
    <x v="3"/>
    <x v="4"/>
    <x v="15"/>
    <s v="Appliances Item 3"/>
    <n v="1983.78"/>
    <n v="8"/>
    <n v="195.38"/>
    <x v="0"/>
    <n v="9.8488743711500265E-2"/>
    <x v="2"/>
    <x v="1"/>
  </r>
  <r>
    <s v="O-10444"/>
    <d v="2023-07-01T00:00:00"/>
    <x v="3"/>
    <x v="4"/>
    <x v="10"/>
    <s v="Furniture Item 10"/>
    <n v="1489.85"/>
    <n v="7"/>
    <n v="303.55"/>
    <x v="1"/>
    <n v="0.20374534349095549"/>
    <x v="3"/>
    <x v="1"/>
  </r>
  <r>
    <s v="O-10445"/>
    <d v="2023-07-02T00:00:00"/>
    <x v="0"/>
    <x v="2"/>
    <x v="6"/>
    <s v="Kids Item 169"/>
    <n v="763.01"/>
    <n v="9"/>
    <n v="143.87"/>
    <x v="1"/>
    <n v="0.18855585116839885"/>
    <x v="3"/>
    <x v="1"/>
  </r>
  <r>
    <s v="O-10446"/>
    <d v="2023-07-03T00:00:00"/>
    <x v="1"/>
    <x v="0"/>
    <x v="11"/>
    <s v="Laptops Item 90"/>
    <n v="1683.13"/>
    <n v="1"/>
    <n v="88.8"/>
    <x v="0"/>
    <n v="5.2758848098483177E-2"/>
    <x v="3"/>
    <x v="1"/>
  </r>
  <r>
    <s v="O-10447"/>
    <d v="2023-07-04T00:00:00"/>
    <x v="1"/>
    <x v="1"/>
    <x v="13"/>
    <s v="Haircare Item 162"/>
    <n v="1522.18"/>
    <n v="4"/>
    <n v="200.52"/>
    <x v="1"/>
    <n v="0.13173212103693388"/>
    <x v="3"/>
    <x v="1"/>
  </r>
  <r>
    <s v="O-10448"/>
    <d v="2023-07-05T00:00:00"/>
    <x v="1"/>
    <x v="3"/>
    <x v="14"/>
    <s v="Equipment Item 56"/>
    <n v="1014.06"/>
    <n v="4"/>
    <n v="148.4"/>
    <x v="2"/>
    <n v="0.14634242549750509"/>
    <x v="3"/>
    <x v="1"/>
  </r>
  <r>
    <s v="O-10449"/>
    <d v="2023-07-06T00:00:00"/>
    <x v="3"/>
    <x v="4"/>
    <x v="15"/>
    <s v="Appliances Item 20"/>
    <n v="1565.19"/>
    <n v="6"/>
    <n v="310.32"/>
    <x v="2"/>
    <n v="0.19826346961071817"/>
    <x v="3"/>
    <x v="1"/>
  </r>
  <r>
    <s v="O-10450"/>
    <d v="2023-07-07T00:00:00"/>
    <x v="2"/>
    <x v="4"/>
    <x v="15"/>
    <s v="Appliances Item 54"/>
    <n v="1397.32"/>
    <n v="5"/>
    <n v="80.02"/>
    <x v="2"/>
    <n v="5.7266767812669969E-2"/>
    <x v="3"/>
    <x v="1"/>
  </r>
  <r>
    <s v="O-10451"/>
    <d v="2023-07-08T00:00:00"/>
    <x v="1"/>
    <x v="1"/>
    <x v="1"/>
    <s v="Makeup Item 57"/>
    <n v="787.59"/>
    <n v="1"/>
    <n v="155.19999999999999"/>
    <x v="0"/>
    <n v="0.19705684429715967"/>
    <x v="3"/>
    <x v="1"/>
  </r>
  <r>
    <s v="O-10452"/>
    <d v="2023-07-09T00:00:00"/>
    <x v="3"/>
    <x v="4"/>
    <x v="10"/>
    <s v="Furniture Item 14"/>
    <n v="1452.34"/>
    <n v="5"/>
    <n v="283.2"/>
    <x v="2"/>
    <n v="0.19499566217276945"/>
    <x v="3"/>
    <x v="1"/>
  </r>
  <r>
    <s v="O-10453"/>
    <d v="2023-07-10T00:00:00"/>
    <x v="3"/>
    <x v="2"/>
    <x v="2"/>
    <s v="Women Item 132"/>
    <n v="124.55"/>
    <n v="8"/>
    <n v="27.29"/>
    <x v="1"/>
    <n v="0.21910879164993979"/>
    <x v="3"/>
    <x v="1"/>
  </r>
  <r>
    <s v="O-10454"/>
    <d v="2023-07-11T00:00:00"/>
    <x v="1"/>
    <x v="3"/>
    <x v="5"/>
    <s v="Outdoor Item 147"/>
    <n v="554.25"/>
    <n v="3"/>
    <n v="96.75"/>
    <x v="1"/>
    <n v="0.17456021650879566"/>
    <x v="3"/>
    <x v="1"/>
  </r>
  <r>
    <s v="O-10455"/>
    <d v="2023-07-12T00:00:00"/>
    <x v="0"/>
    <x v="4"/>
    <x v="15"/>
    <s v="Appliances Item 150"/>
    <n v="1396.92"/>
    <n v="6"/>
    <n v="143.13"/>
    <x v="0"/>
    <n v="0.10246112876900609"/>
    <x v="3"/>
    <x v="1"/>
  </r>
  <r>
    <s v="O-10456"/>
    <d v="2023-07-13T00:00:00"/>
    <x v="2"/>
    <x v="4"/>
    <x v="10"/>
    <s v="Furniture Item 19"/>
    <n v="891.59"/>
    <n v="4"/>
    <n v="71.86"/>
    <x v="1"/>
    <n v="8.0597584091342434E-2"/>
    <x v="3"/>
    <x v="1"/>
  </r>
  <r>
    <s v="O-10457"/>
    <d v="2023-07-14T00:00:00"/>
    <x v="3"/>
    <x v="3"/>
    <x v="14"/>
    <s v="Equipment Item 183"/>
    <n v="487"/>
    <n v="4"/>
    <n v="31.96"/>
    <x v="0"/>
    <n v="6.5626283367556465E-2"/>
    <x v="3"/>
    <x v="1"/>
  </r>
  <r>
    <s v="O-10458"/>
    <d v="2023-07-15T00:00:00"/>
    <x v="2"/>
    <x v="3"/>
    <x v="5"/>
    <s v="Outdoor Item 47"/>
    <n v="1996.73"/>
    <n v="6"/>
    <n v="420.59"/>
    <x v="1"/>
    <n v="0.21063939541149779"/>
    <x v="3"/>
    <x v="1"/>
  </r>
  <r>
    <s v="O-10459"/>
    <d v="2023-07-16T00:00:00"/>
    <x v="1"/>
    <x v="2"/>
    <x v="6"/>
    <s v="Kids Item 198"/>
    <n v="1279.6300000000001"/>
    <n v="6"/>
    <n v="381.05"/>
    <x v="1"/>
    <n v="0.2977813899330275"/>
    <x v="3"/>
    <x v="1"/>
  </r>
  <r>
    <s v="O-10460"/>
    <d v="2023-07-17T00:00:00"/>
    <x v="2"/>
    <x v="4"/>
    <x v="15"/>
    <s v="Appliances Item 75"/>
    <n v="1485.17"/>
    <n v="5"/>
    <n v="142.75"/>
    <x v="0"/>
    <n v="9.6116942841560221E-2"/>
    <x v="3"/>
    <x v="1"/>
  </r>
  <r>
    <s v="O-10461"/>
    <d v="2023-07-18T00:00:00"/>
    <x v="1"/>
    <x v="3"/>
    <x v="14"/>
    <s v="Equipment Item 138"/>
    <n v="682.33"/>
    <n v="1"/>
    <n v="134.05000000000001"/>
    <x v="2"/>
    <n v="0.19645919130039718"/>
    <x v="3"/>
    <x v="1"/>
  </r>
  <r>
    <s v="O-10462"/>
    <d v="2023-07-19T00:00:00"/>
    <x v="3"/>
    <x v="4"/>
    <x v="15"/>
    <s v="Appliances Item 198"/>
    <n v="1045.8"/>
    <n v="3"/>
    <n v="298.23"/>
    <x v="0"/>
    <n v="0.28516924842226049"/>
    <x v="3"/>
    <x v="1"/>
  </r>
  <r>
    <s v="O-10463"/>
    <d v="2023-07-20T00:00:00"/>
    <x v="3"/>
    <x v="3"/>
    <x v="4"/>
    <s v="Fitness Item 35"/>
    <n v="870.72"/>
    <n v="3"/>
    <n v="125.58"/>
    <x v="1"/>
    <n v="0.14422546857772878"/>
    <x v="3"/>
    <x v="1"/>
  </r>
  <r>
    <s v="O-10464"/>
    <d v="2023-07-21T00:00:00"/>
    <x v="2"/>
    <x v="3"/>
    <x v="4"/>
    <s v="Fitness Item 149"/>
    <n v="927.21"/>
    <n v="5"/>
    <n v="210.02"/>
    <x v="2"/>
    <n v="0.22650747942752991"/>
    <x v="3"/>
    <x v="1"/>
  </r>
  <r>
    <s v="O-10465"/>
    <d v="2023-07-22T00:00:00"/>
    <x v="1"/>
    <x v="4"/>
    <x v="12"/>
    <s v="Decor Item 4"/>
    <n v="118.69"/>
    <n v="7"/>
    <n v="20.67"/>
    <x v="0"/>
    <n v="0.17415115005476453"/>
    <x v="3"/>
    <x v="1"/>
  </r>
  <r>
    <s v="O-10466"/>
    <d v="2023-07-23T00:00:00"/>
    <x v="0"/>
    <x v="1"/>
    <x v="8"/>
    <s v="Skincare Item 24"/>
    <n v="1464.43"/>
    <n v="6"/>
    <n v="94.19"/>
    <x v="0"/>
    <n v="6.4318540319441689E-2"/>
    <x v="3"/>
    <x v="1"/>
  </r>
  <r>
    <s v="O-10467"/>
    <d v="2023-07-24T00:00:00"/>
    <x v="3"/>
    <x v="4"/>
    <x v="12"/>
    <s v="Decor Item 60"/>
    <n v="280.07"/>
    <n v="9"/>
    <n v="66.61"/>
    <x v="0"/>
    <n v="0.23783339879315885"/>
    <x v="3"/>
    <x v="1"/>
  </r>
  <r>
    <s v="O-10468"/>
    <d v="2023-07-25T00:00:00"/>
    <x v="3"/>
    <x v="3"/>
    <x v="4"/>
    <s v="Fitness Item 36"/>
    <n v="46.54"/>
    <n v="8"/>
    <n v="2.99"/>
    <x v="1"/>
    <n v="6.4245810055865923E-2"/>
    <x v="3"/>
    <x v="1"/>
  </r>
  <r>
    <s v="O-10469"/>
    <d v="2023-07-26T00:00:00"/>
    <x v="2"/>
    <x v="2"/>
    <x v="2"/>
    <s v="Women Item 86"/>
    <n v="538.17999999999995"/>
    <n v="3"/>
    <n v="63.99"/>
    <x v="0"/>
    <n v="0.11890073952952546"/>
    <x v="3"/>
    <x v="1"/>
  </r>
  <r>
    <s v="O-10470"/>
    <d v="2023-07-27T00:00:00"/>
    <x v="0"/>
    <x v="1"/>
    <x v="1"/>
    <s v="Makeup Item 120"/>
    <n v="1950.17"/>
    <n v="6"/>
    <n v="306.61"/>
    <x v="0"/>
    <n v="0.15722219088592276"/>
    <x v="3"/>
    <x v="1"/>
  </r>
  <r>
    <s v="O-10471"/>
    <d v="2023-07-28T00:00:00"/>
    <x v="0"/>
    <x v="3"/>
    <x v="14"/>
    <s v="Equipment Item 70"/>
    <n v="149.41999999999999"/>
    <n v="4"/>
    <n v="8.73"/>
    <x v="1"/>
    <n v="5.8425913532325E-2"/>
    <x v="3"/>
    <x v="1"/>
  </r>
  <r>
    <s v="O-10472"/>
    <d v="2023-07-29T00:00:00"/>
    <x v="0"/>
    <x v="0"/>
    <x v="11"/>
    <s v="Laptops Item 82"/>
    <n v="1814.75"/>
    <n v="9"/>
    <n v="247.68"/>
    <x v="2"/>
    <n v="0.13648160903705744"/>
    <x v="3"/>
    <x v="1"/>
  </r>
  <r>
    <s v="O-10473"/>
    <d v="2023-07-30T00:00:00"/>
    <x v="2"/>
    <x v="1"/>
    <x v="8"/>
    <s v="Skincare Item 161"/>
    <n v="1548.28"/>
    <n v="6"/>
    <n v="425.71"/>
    <x v="0"/>
    <n v="0.27495672617356032"/>
    <x v="3"/>
    <x v="1"/>
  </r>
  <r>
    <s v="O-10474"/>
    <d v="2023-07-31T00:00:00"/>
    <x v="3"/>
    <x v="0"/>
    <x v="0"/>
    <s v="Cameras Item 148"/>
    <n v="273.42"/>
    <n v="7"/>
    <n v="40.57"/>
    <x v="1"/>
    <n v="0.148379782020335"/>
    <x v="3"/>
    <x v="1"/>
  </r>
  <r>
    <s v="O-10475"/>
    <d v="2023-08-01T00:00:00"/>
    <x v="2"/>
    <x v="0"/>
    <x v="9"/>
    <s v="Phones Item 120"/>
    <n v="535.11"/>
    <n v="9"/>
    <n v="92.91"/>
    <x v="2"/>
    <n v="0.17362785221730109"/>
    <x v="4"/>
    <x v="1"/>
  </r>
  <r>
    <s v="O-10476"/>
    <d v="2023-08-02T00:00:00"/>
    <x v="0"/>
    <x v="3"/>
    <x v="5"/>
    <s v="Outdoor Item 82"/>
    <n v="307.02999999999997"/>
    <n v="7"/>
    <n v="30.56"/>
    <x v="2"/>
    <n v="9.953424746767417E-2"/>
    <x v="4"/>
    <x v="1"/>
  </r>
  <r>
    <s v="O-10477"/>
    <d v="2023-08-03T00:00:00"/>
    <x v="2"/>
    <x v="3"/>
    <x v="14"/>
    <s v="Equipment Item 147"/>
    <n v="631.22"/>
    <n v="5"/>
    <n v="127.59"/>
    <x v="2"/>
    <n v="0.20213237856848643"/>
    <x v="4"/>
    <x v="1"/>
  </r>
  <r>
    <s v="O-10478"/>
    <d v="2023-08-04T00:00:00"/>
    <x v="1"/>
    <x v="1"/>
    <x v="1"/>
    <s v="Makeup Item 169"/>
    <n v="63.63"/>
    <n v="5"/>
    <n v="6.77"/>
    <x v="2"/>
    <n v="0.10639635392110638"/>
    <x v="4"/>
    <x v="1"/>
  </r>
  <r>
    <s v="O-10479"/>
    <d v="2023-08-05T00:00:00"/>
    <x v="2"/>
    <x v="2"/>
    <x v="3"/>
    <s v="Men Item 71"/>
    <n v="1373.83"/>
    <n v="1"/>
    <n v="248.45"/>
    <x v="0"/>
    <n v="0.18084479156809793"/>
    <x v="4"/>
    <x v="1"/>
  </r>
  <r>
    <s v="O-10480"/>
    <d v="2023-08-06T00:00:00"/>
    <x v="2"/>
    <x v="3"/>
    <x v="5"/>
    <s v="Outdoor Item 61"/>
    <n v="1723.08"/>
    <n v="9"/>
    <n v="427.19"/>
    <x v="1"/>
    <n v="0.24792232513870513"/>
    <x v="4"/>
    <x v="1"/>
  </r>
  <r>
    <s v="O-10481"/>
    <d v="2023-08-07T00:00:00"/>
    <x v="2"/>
    <x v="3"/>
    <x v="4"/>
    <s v="Fitness Item 17"/>
    <n v="1233.54"/>
    <n v="6"/>
    <n v="322.85000000000002"/>
    <x v="2"/>
    <n v="0.26172641341180669"/>
    <x v="4"/>
    <x v="1"/>
  </r>
  <r>
    <s v="O-10482"/>
    <d v="2023-08-08T00:00:00"/>
    <x v="0"/>
    <x v="2"/>
    <x v="2"/>
    <s v="Women Item 2"/>
    <n v="1335.09"/>
    <n v="9"/>
    <n v="290.06"/>
    <x v="1"/>
    <n v="0.21725876158161622"/>
    <x v="4"/>
    <x v="1"/>
  </r>
  <r>
    <s v="O-10483"/>
    <d v="2023-08-09T00:00:00"/>
    <x v="1"/>
    <x v="1"/>
    <x v="8"/>
    <s v="Skincare Item 144"/>
    <n v="835.3"/>
    <n v="7"/>
    <n v="155.66"/>
    <x v="1"/>
    <n v="0.18635220878726208"/>
    <x v="4"/>
    <x v="1"/>
  </r>
  <r>
    <s v="O-10484"/>
    <d v="2023-08-10T00:00:00"/>
    <x v="3"/>
    <x v="0"/>
    <x v="0"/>
    <s v="Cameras Item 168"/>
    <n v="241.63"/>
    <n v="3"/>
    <n v="15.22"/>
    <x v="0"/>
    <n v="6.2988867276414354E-2"/>
    <x v="4"/>
    <x v="1"/>
  </r>
  <r>
    <s v="O-10485"/>
    <d v="2023-08-11T00:00:00"/>
    <x v="0"/>
    <x v="4"/>
    <x v="10"/>
    <s v="Furniture Item 192"/>
    <n v="692.76"/>
    <n v="5"/>
    <n v="63.16"/>
    <x v="2"/>
    <n v="9.1171545701252951E-2"/>
    <x v="4"/>
    <x v="1"/>
  </r>
  <r>
    <s v="O-10486"/>
    <d v="2023-08-12T00:00:00"/>
    <x v="1"/>
    <x v="4"/>
    <x v="15"/>
    <s v="Appliances Item 68"/>
    <n v="1518.37"/>
    <n v="6"/>
    <n v="82.73"/>
    <x v="1"/>
    <n v="5.4486060709840162E-2"/>
    <x v="4"/>
    <x v="1"/>
  </r>
  <r>
    <s v="O-10487"/>
    <d v="2023-08-13T00:00:00"/>
    <x v="1"/>
    <x v="1"/>
    <x v="8"/>
    <s v="Skincare Item 79"/>
    <n v="1761.57"/>
    <n v="9"/>
    <n v="334.78"/>
    <x v="2"/>
    <n v="0.19004637908229591"/>
    <x v="4"/>
    <x v="1"/>
  </r>
  <r>
    <s v="O-10488"/>
    <d v="2023-08-14T00:00:00"/>
    <x v="0"/>
    <x v="4"/>
    <x v="15"/>
    <s v="Appliances Item 113"/>
    <n v="73.790000000000006"/>
    <n v="9"/>
    <n v="5.43"/>
    <x v="2"/>
    <n v="7.3587206938609553E-2"/>
    <x v="4"/>
    <x v="1"/>
  </r>
  <r>
    <s v="O-10489"/>
    <d v="2023-08-15T00:00:00"/>
    <x v="0"/>
    <x v="3"/>
    <x v="14"/>
    <s v="Equipment Item 97"/>
    <n v="793.64"/>
    <n v="3"/>
    <n v="60.61"/>
    <x v="2"/>
    <n v="7.6369638627085332E-2"/>
    <x v="4"/>
    <x v="1"/>
  </r>
  <r>
    <s v="O-10490"/>
    <d v="2023-08-16T00:00:00"/>
    <x v="1"/>
    <x v="3"/>
    <x v="4"/>
    <s v="Fitness Item 23"/>
    <n v="1647.76"/>
    <n v="2"/>
    <n v="120.87"/>
    <x v="2"/>
    <n v="7.3354129242122645E-2"/>
    <x v="4"/>
    <x v="1"/>
  </r>
  <r>
    <s v="O-10491"/>
    <d v="2023-08-17T00:00:00"/>
    <x v="1"/>
    <x v="1"/>
    <x v="13"/>
    <s v="Haircare Item 51"/>
    <n v="407.31"/>
    <n v="8"/>
    <n v="49.6"/>
    <x v="1"/>
    <n v="0.12177456973803737"/>
    <x v="4"/>
    <x v="1"/>
  </r>
  <r>
    <s v="O-10492"/>
    <d v="2023-08-18T00:00:00"/>
    <x v="0"/>
    <x v="0"/>
    <x v="7"/>
    <s v="Accessories Item 41"/>
    <n v="1163.6300000000001"/>
    <n v="5"/>
    <n v="149.05000000000001"/>
    <x v="1"/>
    <n v="0.12809054424516383"/>
    <x v="4"/>
    <x v="1"/>
  </r>
  <r>
    <s v="O-10493"/>
    <d v="2023-08-19T00:00:00"/>
    <x v="3"/>
    <x v="2"/>
    <x v="6"/>
    <s v="Kids Item 143"/>
    <n v="1831.88"/>
    <n v="8"/>
    <n v="329.83"/>
    <x v="1"/>
    <n v="0.18005000327532369"/>
    <x v="4"/>
    <x v="1"/>
  </r>
  <r>
    <s v="O-10494"/>
    <d v="2023-08-20T00:00:00"/>
    <x v="1"/>
    <x v="2"/>
    <x v="6"/>
    <s v="Kids Item 198"/>
    <n v="1590.66"/>
    <n v="7"/>
    <n v="323.49"/>
    <x v="0"/>
    <n v="0.20336841311153861"/>
    <x v="4"/>
    <x v="1"/>
  </r>
  <r>
    <s v="O-10495"/>
    <d v="2023-08-21T00:00:00"/>
    <x v="2"/>
    <x v="0"/>
    <x v="0"/>
    <s v="Cameras Item 27"/>
    <n v="568.27"/>
    <n v="8"/>
    <n v="100.45"/>
    <x v="0"/>
    <n v="0.17676456613933519"/>
    <x v="4"/>
    <x v="1"/>
  </r>
  <r>
    <s v="O-10496"/>
    <d v="2023-08-22T00:00:00"/>
    <x v="0"/>
    <x v="4"/>
    <x v="15"/>
    <s v="Appliances Item 129"/>
    <n v="86.1"/>
    <n v="8"/>
    <n v="23.55"/>
    <x v="1"/>
    <n v="0.27351916376306623"/>
    <x v="4"/>
    <x v="1"/>
  </r>
  <r>
    <s v="O-10497"/>
    <d v="2023-08-23T00:00:00"/>
    <x v="2"/>
    <x v="3"/>
    <x v="5"/>
    <s v="Outdoor Item 107"/>
    <n v="640.05999999999995"/>
    <n v="6"/>
    <n v="186.86"/>
    <x v="0"/>
    <n v="0.29194138049557861"/>
    <x v="4"/>
    <x v="1"/>
  </r>
  <r>
    <s v="O-10498"/>
    <d v="2023-08-24T00:00:00"/>
    <x v="3"/>
    <x v="1"/>
    <x v="8"/>
    <s v="Skincare Item 137"/>
    <n v="1611.14"/>
    <n v="7"/>
    <n v="470.1"/>
    <x v="0"/>
    <n v="0.29178097496182825"/>
    <x v="4"/>
    <x v="1"/>
  </r>
  <r>
    <s v="O-10499"/>
    <d v="2023-08-25T00:00:00"/>
    <x v="1"/>
    <x v="0"/>
    <x v="0"/>
    <s v="Cameras Item 109"/>
    <n v="1968.54"/>
    <n v="5"/>
    <n v="455.32"/>
    <x v="0"/>
    <n v="0.23129832261472971"/>
    <x v="4"/>
    <x v="1"/>
  </r>
  <r>
    <s v="O-10500"/>
    <d v="2023-08-26T00:00:00"/>
    <x v="3"/>
    <x v="1"/>
    <x v="8"/>
    <s v="Skincare Item 4"/>
    <n v="1994.21"/>
    <n v="7"/>
    <n v="164.44"/>
    <x v="1"/>
    <n v="8.2458717988576929E-2"/>
    <x v="4"/>
    <x v="1"/>
  </r>
  <r>
    <s v="O-10501"/>
    <d v="2023-08-27T00:00:00"/>
    <x v="0"/>
    <x v="2"/>
    <x v="6"/>
    <s v="Kids Item 131"/>
    <n v="1064.25"/>
    <n v="9"/>
    <n v="272.17"/>
    <x v="0"/>
    <n v="0.25573878318064364"/>
    <x v="4"/>
    <x v="1"/>
  </r>
  <r>
    <s v="O-10502"/>
    <d v="2023-08-28T00:00:00"/>
    <x v="3"/>
    <x v="0"/>
    <x v="7"/>
    <s v="Accessories Item 126"/>
    <n v="770.47"/>
    <n v="3"/>
    <n v="74.62"/>
    <x v="1"/>
    <n v="9.6849974690773166E-2"/>
    <x v="4"/>
    <x v="1"/>
  </r>
  <r>
    <s v="O-10503"/>
    <d v="2023-08-29T00:00:00"/>
    <x v="0"/>
    <x v="1"/>
    <x v="13"/>
    <s v="Haircare Item 9"/>
    <n v="1641.75"/>
    <n v="2"/>
    <n v="127.54"/>
    <x v="1"/>
    <n v="7.7685396680371555E-2"/>
    <x v="4"/>
    <x v="1"/>
  </r>
  <r>
    <s v="O-10504"/>
    <d v="2023-08-30T00:00:00"/>
    <x v="2"/>
    <x v="0"/>
    <x v="0"/>
    <s v="Cameras Item 172"/>
    <n v="1976.37"/>
    <n v="2"/>
    <n v="504.78"/>
    <x v="1"/>
    <n v="0.25540764128174381"/>
    <x v="4"/>
    <x v="1"/>
  </r>
  <r>
    <s v="O-10505"/>
    <d v="2023-08-31T00:00:00"/>
    <x v="3"/>
    <x v="3"/>
    <x v="4"/>
    <s v="Fitness Item 131"/>
    <n v="1762.05"/>
    <n v="5"/>
    <n v="137.86000000000001"/>
    <x v="1"/>
    <n v="7.8238415481967041E-2"/>
    <x v="4"/>
    <x v="1"/>
  </r>
  <r>
    <s v="O-10506"/>
    <d v="2023-09-01T00:00:00"/>
    <x v="3"/>
    <x v="4"/>
    <x v="12"/>
    <s v="Decor Item 190"/>
    <n v="1443.77"/>
    <n v="3"/>
    <n v="123.43"/>
    <x v="2"/>
    <n v="8.549145639540924E-2"/>
    <x v="5"/>
    <x v="1"/>
  </r>
  <r>
    <s v="O-10507"/>
    <d v="2023-09-02T00:00:00"/>
    <x v="1"/>
    <x v="1"/>
    <x v="8"/>
    <s v="Skincare Item 51"/>
    <n v="911.69"/>
    <n v="9"/>
    <n v="144.85"/>
    <x v="1"/>
    <n v="0.15888075990742465"/>
    <x v="5"/>
    <x v="1"/>
  </r>
  <r>
    <s v="O-10508"/>
    <d v="2023-09-03T00:00:00"/>
    <x v="0"/>
    <x v="4"/>
    <x v="15"/>
    <s v="Appliances Item 17"/>
    <n v="1686.07"/>
    <n v="3"/>
    <n v="97.42"/>
    <x v="0"/>
    <n v="5.7779333005153997E-2"/>
    <x v="5"/>
    <x v="1"/>
  </r>
  <r>
    <s v="O-10509"/>
    <d v="2023-09-04T00:00:00"/>
    <x v="1"/>
    <x v="3"/>
    <x v="5"/>
    <s v="Outdoor Item 162"/>
    <n v="663.71"/>
    <n v="8"/>
    <n v="33.82"/>
    <x v="1"/>
    <n v="5.095598981482876E-2"/>
    <x v="5"/>
    <x v="1"/>
  </r>
  <r>
    <s v="O-10510"/>
    <d v="2023-09-05T00:00:00"/>
    <x v="3"/>
    <x v="3"/>
    <x v="14"/>
    <s v="Equipment Item 167"/>
    <n v="350.92"/>
    <n v="4"/>
    <n v="37.479999999999997"/>
    <x v="1"/>
    <n v="0.10680496979368516"/>
    <x v="5"/>
    <x v="1"/>
  </r>
  <r>
    <s v="O-10511"/>
    <d v="2023-09-06T00:00:00"/>
    <x v="1"/>
    <x v="0"/>
    <x v="0"/>
    <s v="Cameras Item 191"/>
    <n v="693.95"/>
    <n v="9"/>
    <n v="72.09"/>
    <x v="0"/>
    <n v="0.10388356509835002"/>
    <x v="5"/>
    <x v="1"/>
  </r>
  <r>
    <s v="O-10512"/>
    <d v="2023-09-07T00:00:00"/>
    <x v="2"/>
    <x v="3"/>
    <x v="14"/>
    <s v="Equipment Item 191"/>
    <n v="155.63999999999999"/>
    <n v="9"/>
    <n v="19.61"/>
    <x v="2"/>
    <n v="0.12599588794654332"/>
    <x v="5"/>
    <x v="1"/>
  </r>
  <r>
    <s v="O-10513"/>
    <d v="2023-09-08T00:00:00"/>
    <x v="3"/>
    <x v="1"/>
    <x v="13"/>
    <s v="Haircare Item 142"/>
    <n v="1809.14"/>
    <n v="1"/>
    <n v="436.94"/>
    <x v="0"/>
    <n v="0.24151806935892189"/>
    <x v="5"/>
    <x v="1"/>
  </r>
  <r>
    <s v="O-10514"/>
    <d v="2023-09-09T00:00:00"/>
    <x v="0"/>
    <x v="2"/>
    <x v="2"/>
    <s v="Women Item 115"/>
    <n v="1816.25"/>
    <n v="7"/>
    <n v="167.59"/>
    <x v="1"/>
    <n v="9.2272539573296633E-2"/>
    <x v="5"/>
    <x v="1"/>
  </r>
  <r>
    <s v="O-10515"/>
    <d v="2023-09-10T00:00:00"/>
    <x v="1"/>
    <x v="2"/>
    <x v="3"/>
    <s v="Men Item 120"/>
    <n v="771.42"/>
    <n v="4"/>
    <n v="112.17"/>
    <x v="1"/>
    <n v="0.14540717119079102"/>
    <x v="5"/>
    <x v="1"/>
  </r>
  <r>
    <s v="O-10516"/>
    <d v="2023-09-11T00:00:00"/>
    <x v="2"/>
    <x v="2"/>
    <x v="6"/>
    <s v="Kids Item 35"/>
    <n v="837.27"/>
    <n v="4"/>
    <n v="45.63"/>
    <x v="1"/>
    <n v="5.4498548855208002E-2"/>
    <x v="5"/>
    <x v="1"/>
  </r>
  <r>
    <s v="O-10517"/>
    <d v="2023-09-12T00:00:00"/>
    <x v="0"/>
    <x v="4"/>
    <x v="10"/>
    <s v="Furniture Item 88"/>
    <n v="73.81"/>
    <n v="6"/>
    <n v="8.86"/>
    <x v="2"/>
    <n v="0.12003793523912748"/>
    <x v="5"/>
    <x v="1"/>
  </r>
  <r>
    <s v="O-10518"/>
    <d v="2023-09-13T00:00:00"/>
    <x v="3"/>
    <x v="1"/>
    <x v="8"/>
    <s v="Skincare Item 110"/>
    <n v="1823.32"/>
    <n v="3"/>
    <n v="458.07"/>
    <x v="1"/>
    <n v="0.25122852817936514"/>
    <x v="5"/>
    <x v="1"/>
  </r>
  <r>
    <s v="O-10519"/>
    <d v="2023-09-14T00:00:00"/>
    <x v="3"/>
    <x v="2"/>
    <x v="3"/>
    <s v="Men Item 71"/>
    <n v="1250.26"/>
    <n v="9"/>
    <n v="157.77000000000001"/>
    <x v="0"/>
    <n v="0.12618975253147346"/>
    <x v="5"/>
    <x v="1"/>
  </r>
  <r>
    <s v="O-10520"/>
    <d v="2023-09-15T00:00:00"/>
    <x v="2"/>
    <x v="2"/>
    <x v="3"/>
    <s v="Men Item 121"/>
    <n v="577.41"/>
    <n v="4"/>
    <n v="45.12"/>
    <x v="2"/>
    <n v="7.8142048111393983E-2"/>
    <x v="5"/>
    <x v="1"/>
  </r>
  <r>
    <s v="O-10521"/>
    <d v="2023-09-16T00:00:00"/>
    <x v="0"/>
    <x v="4"/>
    <x v="12"/>
    <s v="Decor Item 61"/>
    <n v="155.32"/>
    <n v="1"/>
    <n v="17.16"/>
    <x v="0"/>
    <n v="0.1104815864022663"/>
    <x v="5"/>
    <x v="1"/>
  </r>
  <r>
    <s v="O-10522"/>
    <d v="2023-09-17T00:00:00"/>
    <x v="2"/>
    <x v="0"/>
    <x v="9"/>
    <s v="Phones Item 161"/>
    <n v="948.16"/>
    <n v="9"/>
    <n v="242.86"/>
    <x v="0"/>
    <n v="0.25613820452244351"/>
    <x v="5"/>
    <x v="1"/>
  </r>
  <r>
    <s v="O-10523"/>
    <d v="2023-09-18T00:00:00"/>
    <x v="3"/>
    <x v="1"/>
    <x v="13"/>
    <s v="Haircare Item 41"/>
    <n v="115.32"/>
    <n v="4"/>
    <n v="31.06"/>
    <x v="2"/>
    <n v="0.26933749566423865"/>
    <x v="5"/>
    <x v="1"/>
  </r>
  <r>
    <s v="O-10524"/>
    <d v="2023-09-19T00:00:00"/>
    <x v="0"/>
    <x v="1"/>
    <x v="13"/>
    <s v="Haircare Item 105"/>
    <n v="674.21"/>
    <n v="6"/>
    <n v="184.11"/>
    <x v="1"/>
    <n v="0.27307515462541343"/>
    <x v="5"/>
    <x v="1"/>
  </r>
  <r>
    <s v="O-10525"/>
    <d v="2023-09-20T00:00:00"/>
    <x v="1"/>
    <x v="3"/>
    <x v="14"/>
    <s v="Equipment Item 183"/>
    <n v="1072.01"/>
    <n v="1"/>
    <n v="130.06"/>
    <x v="0"/>
    <n v="0.12132349511665004"/>
    <x v="5"/>
    <x v="1"/>
  </r>
  <r>
    <s v="O-10526"/>
    <d v="2023-09-21T00:00:00"/>
    <x v="2"/>
    <x v="4"/>
    <x v="12"/>
    <s v="Decor Item 35"/>
    <n v="550.20000000000005"/>
    <n v="2"/>
    <n v="106.37"/>
    <x v="0"/>
    <n v="0.19332969829153035"/>
    <x v="5"/>
    <x v="1"/>
  </r>
  <r>
    <s v="O-10527"/>
    <d v="2023-09-22T00:00:00"/>
    <x v="1"/>
    <x v="4"/>
    <x v="12"/>
    <s v="Decor Item 69"/>
    <n v="519.57000000000005"/>
    <n v="5"/>
    <n v="103.78"/>
    <x v="0"/>
    <n v="0.19974209442423541"/>
    <x v="5"/>
    <x v="1"/>
  </r>
  <r>
    <s v="O-10528"/>
    <d v="2023-09-23T00:00:00"/>
    <x v="1"/>
    <x v="2"/>
    <x v="6"/>
    <s v="Kids Item 189"/>
    <n v="84.64"/>
    <n v="3"/>
    <n v="21.78"/>
    <x v="1"/>
    <n v="0.2573251417769376"/>
    <x v="5"/>
    <x v="1"/>
  </r>
  <r>
    <s v="O-10529"/>
    <d v="2023-09-24T00:00:00"/>
    <x v="3"/>
    <x v="1"/>
    <x v="8"/>
    <s v="Skincare Item 65"/>
    <n v="69.78"/>
    <n v="7"/>
    <n v="11"/>
    <x v="0"/>
    <n v="0.15763829177414732"/>
    <x v="5"/>
    <x v="1"/>
  </r>
  <r>
    <s v="O-10530"/>
    <d v="2023-09-25T00:00:00"/>
    <x v="2"/>
    <x v="3"/>
    <x v="5"/>
    <s v="Outdoor Item 182"/>
    <n v="880.5"/>
    <n v="9"/>
    <n v="119.05"/>
    <x v="1"/>
    <n v="0.13520726859738785"/>
    <x v="5"/>
    <x v="1"/>
  </r>
  <r>
    <s v="O-10531"/>
    <d v="2023-09-26T00:00:00"/>
    <x v="0"/>
    <x v="2"/>
    <x v="2"/>
    <s v="Women Item 150"/>
    <n v="1222.04"/>
    <n v="3"/>
    <n v="197.13"/>
    <x v="2"/>
    <n v="0.16131223200549899"/>
    <x v="5"/>
    <x v="1"/>
  </r>
  <r>
    <s v="O-10532"/>
    <d v="2023-09-27T00:00:00"/>
    <x v="2"/>
    <x v="1"/>
    <x v="1"/>
    <s v="Makeup Item 157"/>
    <n v="1286.42"/>
    <n v="7"/>
    <n v="229.1"/>
    <x v="1"/>
    <n v="0.17809113664277607"/>
    <x v="5"/>
    <x v="1"/>
  </r>
  <r>
    <s v="O-10533"/>
    <d v="2023-09-28T00:00:00"/>
    <x v="0"/>
    <x v="2"/>
    <x v="2"/>
    <s v="Women Item 4"/>
    <n v="781.33"/>
    <n v="3"/>
    <n v="166.47"/>
    <x v="2"/>
    <n v="0.21305978267825373"/>
    <x v="5"/>
    <x v="1"/>
  </r>
  <r>
    <s v="O-10534"/>
    <d v="2023-09-29T00:00:00"/>
    <x v="1"/>
    <x v="4"/>
    <x v="15"/>
    <s v="Appliances Item 162"/>
    <n v="956.34"/>
    <n v="9"/>
    <n v="168.86"/>
    <x v="0"/>
    <n v="0.17656900265595918"/>
    <x v="5"/>
    <x v="1"/>
  </r>
  <r>
    <s v="O-10535"/>
    <d v="2023-09-30T00:00:00"/>
    <x v="3"/>
    <x v="2"/>
    <x v="2"/>
    <s v="Women Item 166"/>
    <n v="160.44999999999999"/>
    <n v="9"/>
    <n v="8.14"/>
    <x v="2"/>
    <n v="5.0732315363041451E-2"/>
    <x v="5"/>
    <x v="1"/>
  </r>
  <r>
    <s v="O-10536"/>
    <d v="2023-10-01T00:00:00"/>
    <x v="1"/>
    <x v="4"/>
    <x v="15"/>
    <s v="Appliances Item 12"/>
    <n v="1216.06"/>
    <n v="8"/>
    <n v="133.41999999999999"/>
    <x v="2"/>
    <n v="0.10971498116869233"/>
    <x v="6"/>
    <x v="1"/>
  </r>
  <r>
    <s v="O-10537"/>
    <d v="2023-10-02T00:00:00"/>
    <x v="3"/>
    <x v="2"/>
    <x v="3"/>
    <s v="Men Item 193"/>
    <n v="911.92"/>
    <n v="1"/>
    <n v="187.52"/>
    <x v="0"/>
    <n v="0.20563207298885869"/>
    <x v="6"/>
    <x v="1"/>
  </r>
  <r>
    <s v="O-10538"/>
    <d v="2023-10-03T00:00:00"/>
    <x v="1"/>
    <x v="2"/>
    <x v="2"/>
    <s v="Women Item 35"/>
    <n v="905.99"/>
    <n v="4"/>
    <n v="92.18"/>
    <x v="1"/>
    <n v="0.10174505237364652"/>
    <x v="6"/>
    <x v="1"/>
  </r>
  <r>
    <s v="O-10539"/>
    <d v="2023-10-04T00:00:00"/>
    <x v="0"/>
    <x v="3"/>
    <x v="4"/>
    <s v="Fitness Item 189"/>
    <n v="30.9"/>
    <n v="1"/>
    <n v="3.24"/>
    <x v="0"/>
    <n v="0.10485436893203885"/>
    <x v="6"/>
    <x v="1"/>
  </r>
  <r>
    <s v="O-10540"/>
    <d v="2023-10-05T00:00:00"/>
    <x v="2"/>
    <x v="0"/>
    <x v="9"/>
    <s v="Phones Item 148"/>
    <n v="233.89"/>
    <n v="7"/>
    <n v="58.62"/>
    <x v="0"/>
    <n v="0.25063063833425969"/>
    <x v="6"/>
    <x v="1"/>
  </r>
  <r>
    <s v="O-10541"/>
    <d v="2023-10-06T00:00:00"/>
    <x v="1"/>
    <x v="0"/>
    <x v="9"/>
    <s v="Phones Item 62"/>
    <n v="805.66"/>
    <n v="6"/>
    <n v="227.95"/>
    <x v="1"/>
    <n v="0.28293572971228559"/>
    <x v="6"/>
    <x v="1"/>
  </r>
  <r>
    <s v="O-10542"/>
    <d v="2023-10-07T00:00:00"/>
    <x v="3"/>
    <x v="3"/>
    <x v="5"/>
    <s v="Outdoor Item 37"/>
    <n v="583.42999999999995"/>
    <n v="1"/>
    <n v="45.78"/>
    <x v="2"/>
    <n v="7.8466996897656974E-2"/>
    <x v="6"/>
    <x v="1"/>
  </r>
  <r>
    <s v="O-10543"/>
    <d v="2023-10-08T00:00:00"/>
    <x v="0"/>
    <x v="4"/>
    <x v="12"/>
    <s v="Decor Item 167"/>
    <n v="1158.06"/>
    <n v="7"/>
    <n v="200.79"/>
    <x v="1"/>
    <n v="0.17338479871509249"/>
    <x v="6"/>
    <x v="1"/>
  </r>
  <r>
    <s v="O-10544"/>
    <d v="2023-10-09T00:00:00"/>
    <x v="3"/>
    <x v="0"/>
    <x v="9"/>
    <s v="Phones Item 147"/>
    <n v="912.18"/>
    <n v="1"/>
    <n v="134.52000000000001"/>
    <x v="1"/>
    <n v="0.14747089390251925"/>
    <x v="6"/>
    <x v="1"/>
  </r>
  <r>
    <s v="O-10545"/>
    <d v="2023-10-10T00:00:00"/>
    <x v="0"/>
    <x v="1"/>
    <x v="13"/>
    <s v="Haircare Item 76"/>
    <n v="1766.87"/>
    <n v="5"/>
    <n v="202.38"/>
    <x v="2"/>
    <n v="0.11454153389892861"/>
    <x v="6"/>
    <x v="1"/>
  </r>
  <r>
    <s v="O-10546"/>
    <d v="2023-10-11T00:00:00"/>
    <x v="0"/>
    <x v="1"/>
    <x v="8"/>
    <s v="Skincare Item 161"/>
    <n v="1651.1"/>
    <n v="7"/>
    <n v="476.36"/>
    <x v="1"/>
    <n v="0.28851068984313488"/>
    <x v="6"/>
    <x v="1"/>
  </r>
  <r>
    <s v="O-10547"/>
    <d v="2023-10-12T00:00:00"/>
    <x v="3"/>
    <x v="2"/>
    <x v="2"/>
    <s v="Women Item 8"/>
    <n v="1728.5"/>
    <n v="7"/>
    <n v="396.51"/>
    <x v="0"/>
    <n v="0.22939542956320508"/>
    <x v="6"/>
    <x v="1"/>
  </r>
  <r>
    <s v="O-10548"/>
    <d v="2023-10-13T00:00:00"/>
    <x v="3"/>
    <x v="0"/>
    <x v="0"/>
    <s v="Cameras Item 177"/>
    <n v="1215.51"/>
    <n v="2"/>
    <n v="138.78"/>
    <x v="2"/>
    <n v="0.11417429720857912"/>
    <x v="6"/>
    <x v="1"/>
  </r>
  <r>
    <s v="O-10549"/>
    <d v="2023-10-14T00:00:00"/>
    <x v="3"/>
    <x v="0"/>
    <x v="11"/>
    <s v="Laptops Item 161"/>
    <n v="923.35"/>
    <n v="2"/>
    <n v="67.47"/>
    <x v="1"/>
    <n v="7.3070883197054196E-2"/>
    <x v="6"/>
    <x v="1"/>
  </r>
  <r>
    <s v="O-10550"/>
    <d v="2023-10-15T00:00:00"/>
    <x v="2"/>
    <x v="1"/>
    <x v="1"/>
    <s v="Makeup Item 168"/>
    <n v="1507.33"/>
    <n v="1"/>
    <n v="227.7"/>
    <x v="0"/>
    <n v="0.15106181128220098"/>
    <x v="6"/>
    <x v="1"/>
  </r>
  <r>
    <s v="O-10551"/>
    <d v="2023-10-16T00:00:00"/>
    <x v="0"/>
    <x v="1"/>
    <x v="13"/>
    <s v="Haircare Item 41"/>
    <n v="1884.62"/>
    <n v="9"/>
    <n v="398.81"/>
    <x v="0"/>
    <n v="0.21161295115195639"/>
    <x v="6"/>
    <x v="1"/>
  </r>
  <r>
    <s v="O-10552"/>
    <d v="2023-10-17T00:00:00"/>
    <x v="0"/>
    <x v="0"/>
    <x v="11"/>
    <s v="Laptops Item 142"/>
    <n v="1279.47"/>
    <n v="6"/>
    <n v="100.99"/>
    <x v="2"/>
    <n v="7.8931119916840556E-2"/>
    <x v="6"/>
    <x v="1"/>
  </r>
  <r>
    <s v="O-10553"/>
    <d v="2023-10-18T00:00:00"/>
    <x v="2"/>
    <x v="2"/>
    <x v="6"/>
    <s v="Kids Item 28"/>
    <n v="360.26"/>
    <n v="6"/>
    <n v="28.87"/>
    <x v="2"/>
    <n v="8.0136568034197525E-2"/>
    <x v="6"/>
    <x v="1"/>
  </r>
  <r>
    <s v="O-10554"/>
    <d v="2023-10-19T00:00:00"/>
    <x v="2"/>
    <x v="4"/>
    <x v="10"/>
    <s v="Furniture Item 93"/>
    <n v="151.56"/>
    <n v="8"/>
    <n v="38.65"/>
    <x v="2"/>
    <n v="0.25501451570335182"/>
    <x v="6"/>
    <x v="1"/>
  </r>
  <r>
    <s v="O-10555"/>
    <d v="2023-10-20T00:00:00"/>
    <x v="0"/>
    <x v="0"/>
    <x v="0"/>
    <s v="Cameras Item 163"/>
    <n v="908.73"/>
    <n v="7"/>
    <n v="176.57"/>
    <x v="2"/>
    <n v="0.194304138743081"/>
    <x v="6"/>
    <x v="1"/>
  </r>
  <r>
    <s v="O-10556"/>
    <d v="2023-10-21T00:00:00"/>
    <x v="1"/>
    <x v="0"/>
    <x v="0"/>
    <s v="Cameras Item 62"/>
    <n v="1126.1099999999999"/>
    <n v="9"/>
    <n v="261.58999999999997"/>
    <x v="2"/>
    <n v="0.23229524646792943"/>
    <x v="6"/>
    <x v="1"/>
  </r>
  <r>
    <s v="O-10557"/>
    <d v="2023-10-22T00:00:00"/>
    <x v="1"/>
    <x v="0"/>
    <x v="0"/>
    <s v="Cameras Item 38"/>
    <n v="1694.3"/>
    <n v="6"/>
    <n v="445.53"/>
    <x v="1"/>
    <n v="0.26295815380983295"/>
    <x v="6"/>
    <x v="1"/>
  </r>
  <r>
    <s v="O-10558"/>
    <d v="2023-10-23T00:00:00"/>
    <x v="3"/>
    <x v="2"/>
    <x v="6"/>
    <s v="Kids Item 99"/>
    <n v="173.68"/>
    <n v="9"/>
    <n v="21.98"/>
    <x v="2"/>
    <n v="0.12655458314140949"/>
    <x v="6"/>
    <x v="1"/>
  </r>
  <r>
    <s v="O-10559"/>
    <d v="2023-10-24T00:00:00"/>
    <x v="0"/>
    <x v="4"/>
    <x v="10"/>
    <s v="Furniture Item 30"/>
    <n v="903.91"/>
    <n v="2"/>
    <n v="132.03"/>
    <x v="0"/>
    <n v="0.14606542686771914"/>
    <x v="6"/>
    <x v="1"/>
  </r>
  <r>
    <s v="O-10560"/>
    <d v="2023-10-25T00:00:00"/>
    <x v="2"/>
    <x v="2"/>
    <x v="6"/>
    <s v="Kids Item 156"/>
    <n v="1166.95"/>
    <n v="9"/>
    <n v="184.08"/>
    <x v="1"/>
    <n v="0.15774454775268865"/>
    <x v="6"/>
    <x v="1"/>
  </r>
  <r>
    <s v="O-10561"/>
    <d v="2023-10-26T00:00:00"/>
    <x v="0"/>
    <x v="0"/>
    <x v="9"/>
    <s v="Phones Item 75"/>
    <n v="1172.75"/>
    <n v="9"/>
    <n v="66.680000000000007"/>
    <x v="1"/>
    <n v="5.6857812833084637E-2"/>
    <x v="6"/>
    <x v="1"/>
  </r>
  <r>
    <s v="O-10562"/>
    <d v="2023-10-27T00:00:00"/>
    <x v="0"/>
    <x v="1"/>
    <x v="13"/>
    <s v="Haircare Item 161"/>
    <n v="1061.1099999999999"/>
    <n v="2"/>
    <n v="97.32"/>
    <x v="1"/>
    <n v="9.1715279283014955E-2"/>
    <x v="6"/>
    <x v="1"/>
  </r>
  <r>
    <s v="O-10563"/>
    <d v="2023-10-28T00:00:00"/>
    <x v="3"/>
    <x v="4"/>
    <x v="15"/>
    <s v="Appliances Item 196"/>
    <n v="108.66"/>
    <n v="1"/>
    <n v="14.83"/>
    <x v="1"/>
    <n v="0.1364807656911467"/>
    <x v="6"/>
    <x v="1"/>
  </r>
  <r>
    <s v="O-10564"/>
    <d v="2023-10-29T00:00:00"/>
    <x v="2"/>
    <x v="2"/>
    <x v="6"/>
    <s v="Kids Item 19"/>
    <n v="70.39"/>
    <n v="2"/>
    <n v="14.73"/>
    <x v="2"/>
    <n v="0.20926267935786333"/>
    <x v="6"/>
    <x v="1"/>
  </r>
  <r>
    <s v="O-10565"/>
    <d v="2023-10-30T00:00:00"/>
    <x v="1"/>
    <x v="2"/>
    <x v="3"/>
    <s v="Men Item 126"/>
    <n v="1200.06"/>
    <n v="1"/>
    <n v="263.14999999999998"/>
    <x v="2"/>
    <n v="0.21928070263153507"/>
    <x v="6"/>
    <x v="1"/>
  </r>
  <r>
    <s v="O-10566"/>
    <d v="2023-10-31T00:00:00"/>
    <x v="0"/>
    <x v="0"/>
    <x v="11"/>
    <s v="Laptops Item 136"/>
    <n v="741.9"/>
    <n v="4"/>
    <n v="144.71"/>
    <x v="1"/>
    <n v="0.19505324167677587"/>
    <x v="6"/>
    <x v="1"/>
  </r>
  <r>
    <s v="O-10567"/>
    <d v="2023-11-01T00:00:00"/>
    <x v="0"/>
    <x v="4"/>
    <x v="10"/>
    <s v="Furniture Item 65"/>
    <n v="228.41"/>
    <n v="1"/>
    <n v="19.45"/>
    <x v="2"/>
    <n v="8.5153889934766427E-2"/>
    <x v="7"/>
    <x v="1"/>
  </r>
  <r>
    <s v="O-10568"/>
    <d v="2023-11-02T00:00:00"/>
    <x v="2"/>
    <x v="2"/>
    <x v="2"/>
    <s v="Women Item 88"/>
    <n v="1020.8"/>
    <n v="4"/>
    <n v="76.38"/>
    <x v="1"/>
    <n v="7.4823667711598749E-2"/>
    <x v="7"/>
    <x v="1"/>
  </r>
  <r>
    <s v="O-10569"/>
    <d v="2023-11-03T00:00:00"/>
    <x v="0"/>
    <x v="0"/>
    <x v="0"/>
    <s v="Cameras Item 107"/>
    <n v="788.21"/>
    <n v="3"/>
    <n v="44.01"/>
    <x v="1"/>
    <n v="5.5835373821697259E-2"/>
    <x v="7"/>
    <x v="1"/>
  </r>
  <r>
    <s v="O-10570"/>
    <d v="2023-11-04T00:00:00"/>
    <x v="2"/>
    <x v="0"/>
    <x v="9"/>
    <s v="Phones Item 143"/>
    <n v="985.95"/>
    <n v="5"/>
    <n v="255.23"/>
    <x v="0"/>
    <n v="0.258867082509255"/>
    <x v="7"/>
    <x v="1"/>
  </r>
  <r>
    <s v="O-10571"/>
    <d v="2023-11-05T00:00:00"/>
    <x v="2"/>
    <x v="0"/>
    <x v="11"/>
    <s v="Laptops Item 170"/>
    <n v="762.11"/>
    <n v="3"/>
    <n v="207.37"/>
    <x v="0"/>
    <n v="0.27209982810880318"/>
    <x v="7"/>
    <x v="1"/>
  </r>
  <r>
    <s v="O-10572"/>
    <d v="2023-11-06T00:00:00"/>
    <x v="0"/>
    <x v="0"/>
    <x v="9"/>
    <s v="Phones Item 18"/>
    <n v="1656.88"/>
    <n v="1"/>
    <n v="119.38"/>
    <x v="0"/>
    <n v="7.2051083965042728E-2"/>
    <x v="7"/>
    <x v="1"/>
  </r>
  <r>
    <s v="O-10573"/>
    <d v="2023-11-07T00:00:00"/>
    <x v="3"/>
    <x v="2"/>
    <x v="6"/>
    <s v="Kids Item 175"/>
    <n v="320.14"/>
    <n v="1"/>
    <n v="46.86"/>
    <x v="2"/>
    <n v="0.1463734616105454"/>
    <x v="7"/>
    <x v="1"/>
  </r>
  <r>
    <s v="O-10574"/>
    <d v="2023-11-08T00:00:00"/>
    <x v="3"/>
    <x v="1"/>
    <x v="8"/>
    <s v="Skincare Item 68"/>
    <n v="1960.62"/>
    <n v="9"/>
    <n v="369.44"/>
    <x v="2"/>
    <n v="0.18843019044995971"/>
    <x v="7"/>
    <x v="1"/>
  </r>
  <r>
    <s v="O-10575"/>
    <d v="2023-11-09T00:00:00"/>
    <x v="0"/>
    <x v="2"/>
    <x v="6"/>
    <s v="Kids Item 109"/>
    <n v="1528.57"/>
    <n v="7"/>
    <n v="244.74"/>
    <x v="1"/>
    <n v="0.16011043000974767"/>
    <x v="7"/>
    <x v="1"/>
  </r>
  <r>
    <s v="O-10576"/>
    <d v="2023-11-10T00:00:00"/>
    <x v="3"/>
    <x v="4"/>
    <x v="10"/>
    <s v="Furniture Item 98"/>
    <n v="533.48"/>
    <n v="3"/>
    <n v="50.3"/>
    <x v="2"/>
    <n v="9.4286571192921942E-2"/>
    <x v="7"/>
    <x v="1"/>
  </r>
  <r>
    <s v="O-10577"/>
    <d v="2023-11-11T00:00:00"/>
    <x v="0"/>
    <x v="4"/>
    <x v="10"/>
    <s v="Furniture Item 174"/>
    <n v="1361.23"/>
    <n v="5"/>
    <n v="396.94"/>
    <x v="2"/>
    <n v="0.29160391704561317"/>
    <x v="7"/>
    <x v="1"/>
  </r>
  <r>
    <s v="O-10578"/>
    <d v="2023-11-12T00:00:00"/>
    <x v="1"/>
    <x v="1"/>
    <x v="8"/>
    <s v="Skincare Item 68"/>
    <n v="707.61"/>
    <n v="8"/>
    <n v="212.23"/>
    <x v="1"/>
    <n v="0.29992509998445471"/>
    <x v="7"/>
    <x v="1"/>
  </r>
  <r>
    <s v="O-10579"/>
    <d v="2023-11-13T00:00:00"/>
    <x v="3"/>
    <x v="2"/>
    <x v="2"/>
    <s v="Women Item 98"/>
    <n v="988.02"/>
    <n v="3"/>
    <n v="242.65"/>
    <x v="2"/>
    <n v="0.24559219448999009"/>
    <x v="7"/>
    <x v="1"/>
  </r>
  <r>
    <s v="O-10580"/>
    <d v="2023-11-14T00:00:00"/>
    <x v="1"/>
    <x v="2"/>
    <x v="2"/>
    <s v="Women Item 82"/>
    <n v="1254.3399999999999"/>
    <n v="9"/>
    <n v="311.24"/>
    <x v="0"/>
    <n v="0.24813049093547207"/>
    <x v="7"/>
    <x v="1"/>
  </r>
  <r>
    <s v="O-10581"/>
    <d v="2023-11-15T00:00:00"/>
    <x v="2"/>
    <x v="2"/>
    <x v="2"/>
    <s v="Women Item 85"/>
    <n v="313.01"/>
    <n v="5"/>
    <n v="52.86"/>
    <x v="0"/>
    <n v="0.16887639372544008"/>
    <x v="7"/>
    <x v="1"/>
  </r>
  <r>
    <s v="O-10582"/>
    <d v="2023-11-16T00:00:00"/>
    <x v="2"/>
    <x v="4"/>
    <x v="12"/>
    <s v="Decor Item 118"/>
    <n v="470.94"/>
    <n v="5"/>
    <n v="94.08"/>
    <x v="1"/>
    <n v="0.19977067142311122"/>
    <x v="7"/>
    <x v="1"/>
  </r>
  <r>
    <s v="O-10583"/>
    <d v="2023-11-17T00:00:00"/>
    <x v="1"/>
    <x v="0"/>
    <x v="0"/>
    <s v="Cameras Item 47"/>
    <n v="1742.54"/>
    <n v="5"/>
    <n v="412.05"/>
    <x v="1"/>
    <n v="0.23646516005371471"/>
    <x v="7"/>
    <x v="1"/>
  </r>
  <r>
    <s v="O-10584"/>
    <d v="2023-11-18T00:00:00"/>
    <x v="2"/>
    <x v="4"/>
    <x v="15"/>
    <s v="Appliances Item 5"/>
    <n v="1592.54"/>
    <n v="4"/>
    <n v="265.47000000000003"/>
    <x v="0"/>
    <n v="0.16669596995993824"/>
    <x v="7"/>
    <x v="1"/>
  </r>
  <r>
    <s v="O-10585"/>
    <d v="2023-11-19T00:00:00"/>
    <x v="0"/>
    <x v="2"/>
    <x v="3"/>
    <s v="Men Item 70"/>
    <n v="314.62"/>
    <n v="3"/>
    <n v="56.07"/>
    <x v="2"/>
    <n v="0.1782149895111563"/>
    <x v="7"/>
    <x v="1"/>
  </r>
  <r>
    <s v="O-10586"/>
    <d v="2023-11-20T00:00:00"/>
    <x v="2"/>
    <x v="0"/>
    <x v="9"/>
    <s v="Phones Item 52"/>
    <n v="1729.82"/>
    <n v="7"/>
    <n v="248.8"/>
    <x v="0"/>
    <n v="0.14382999387219481"/>
    <x v="7"/>
    <x v="1"/>
  </r>
  <r>
    <s v="O-10587"/>
    <d v="2023-11-21T00:00:00"/>
    <x v="3"/>
    <x v="3"/>
    <x v="14"/>
    <s v="Equipment Item 75"/>
    <n v="422.38"/>
    <n v="8"/>
    <n v="67.709999999999994"/>
    <x v="0"/>
    <n v="0.1603058856953454"/>
    <x v="7"/>
    <x v="1"/>
  </r>
  <r>
    <s v="O-10588"/>
    <d v="2023-11-22T00:00:00"/>
    <x v="3"/>
    <x v="3"/>
    <x v="5"/>
    <s v="Outdoor Item 192"/>
    <n v="994.8"/>
    <n v="2"/>
    <n v="230.23"/>
    <x v="2"/>
    <n v="0.23143345396059509"/>
    <x v="7"/>
    <x v="1"/>
  </r>
  <r>
    <s v="O-10589"/>
    <d v="2023-11-23T00:00:00"/>
    <x v="2"/>
    <x v="1"/>
    <x v="1"/>
    <s v="Makeup Item 92"/>
    <n v="1658.49"/>
    <n v="4"/>
    <n v="417.35"/>
    <x v="0"/>
    <n v="0.25164456825184356"/>
    <x v="7"/>
    <x v="1"/>
  </r>
  <r>
    <s v="O-10590"/>
    <d v="2023-11-24T00:00:00"/>
    <x v="1"/>
    <x v="3"/>
    <x v="4"/>
    <s v="Fitness Item 48"/>
    <n v="1992.32"/>
    <n v="8"/>
    <n v="524.96"/>
    <x v="0"/>
    <n v="0.26349180854481208"/>
    <x v="7"/>
    <x v="1"/>
  </r>
  <r>
    <s v="O-10591"/>
    <d v="2023-11-25T00:00:00"/>
    <x v="1"/>
    <x v="4"/>
    <x v="15"/>
    <s v="Appliances Item 113"/>
    <n v="610.9"/>
    <n v="8"/>
    <n v="40.08"/>
    <x v="2"/>
    <n v="6.5608119168440004E-2"/>
    <x v="7"/>
    <x v="1"/>
  </r>
  <r>
    <s v="O-10592"/>
    <d v="2023-11-26T00:00:00"/>
    <x v="3"/>
    <x v="1"/>
    <x v="8"/>
    <s v="Skincare Item 187"/>
    <n v="80.959999999999994"/>
    <n v="7"/>
    <n v="4.43"/>
    <x v="0"/>
    <n v="5.4718379446640319E-2"/>
    <x v="7"/>
    <x v="1"/>
  </r>
  <r>
    <s v="O-10593"/>
    <d v="2023-11-27T00:00:00"/>
    <x v="0"/>
    <x v="0"/>
    <x v="9"/>
    <s v="Phones Item 22"/>
    <n v="1381.69"/>
    <n v="3"/>
    <n v="308.3"/>
    <x v="2"/>
    <n v="0.22313254058435683"/>
    <x v="7"/>
    <x v="1"/>
  </r>
  <r>
    <s v="O-10594"/>
    <d v="2023-11-28T00:00:00"/>
    <x v="2"/>
    <x v="4"/>
    <x v="10"/>
    <s v="Furniture Item 126"/>
    <n v="1296.05"/>
    <n v="2"/>
    <n v="172.83"/>
    <x v="1"/>
    <n v="0.13335133675398328"/>
    <x v="7"/>
    <x v="1"/>
  </r>
  <r>
    <s v="O-10595"/>
    <d v="2023-11-29T00:00:00"/>
    <x v="1"/>
    <x v="3"/>
    <x v="5"/>
    <s v="Outdoor Item 184"/>
    <n v="1066.58"/>
    <n v="3"/>
    <n v="319.39"/>
    <x v="1"/>
    <n v="0.29945245551201038"/>
    <x v="7"/>
    <x v="1"/>
  </r>
  <r>
    <s v="O-10596"/>
    <d v="2023-11-30T00:00:00"/>
    <x v="1"/>
    <x v="1"/>
    <x v="13"/>
    <s v="Haircare Item 26"/>
    <n v="1660.37"/>
    <n v="7"/>
    <n v="83.98"/>
    <x v="0"/>
    <n v="5.0579087793684543E-2"/>
    <x v="7"/>
    <x v="1"/>
  </r>
  <r>
    <s v="O-10597"/>
    <d v="2023-12-01T00:00:00"/>
    <x v="3"/>
    <x v="0"/>
    <x v="9"/>
    <s v="Phones Item 65"/>
    <n v="696.73"/>
    <n v="5"/>
    <n v="163.81"/>
    <x v="1"/>
    <n v="0.23511259741937335"/>
    <x v="8"/>
    <x v="1"/>
  </r>
  <r>
    <s v="O-10598"/>
    <d v="2023-12-02T00:00:00"/>
    <x v="3"/>
    <x v="2"/>
    <x v="2"/>
    <s v="Women Item 141"/>
    <n v="1511.79"/>
    <n v="5"/>
    <n v="386.23"/>
    <x v="0"/>
    <n v="0.25547860483268181"/>
    <x v="8"/>
    <x v="1"/>
  </r>
  <r>
    <s v="O-10599"/>
    <d v="2023-12-03T00:00:00"/>
    <x v="0"/>
    <x v="4"/>
    <x v="12"/>
    <s v="Decor Item 127"/>
    <n v="1771.16"/>
    <n v="3"/>
    <n v="360.26"/>
    <x v="0"/>
    <n v="0.2034034192280765"/>
    <x v="8"/>
    <x v="1"/>
  </r>
  <r>
    <s v="O-10600"/>
    <d v="2023-12-04T00:00:00"/>
    <x v="0"/>
    <x v="2"/>
    <x v="3"/>
    <s v="Men Item 23"/>
    <n v="985.5"/>
    <n v="4"/>
    <n v="149.58000000000001"/>
    <x v="0"/>
    <n v="0.15178082191780823"/>
    <x v="8"/>
    <x v="1"/>
  </r>
  <r>
    <s v="O-10601"/>
    <d v="2023-12-05T00:00:00"/>
    <x v="1"/>
    <x v="4"/>
    <x v="10"/>
    <s v="Furniture Item 75"/>
    <n v="710.66"/>
    <n v="3"/>
    <n v="147.83000000000001"/>
    <x v="0"/>
    <n v="0.20801789885458591"/>
    <x v="8"/>
    <x v="1"/>
  </r>
  <r>
    <s v="O-10602"/>
    <d v="2023-12-06T00:00:00"/>
    <x v="0"/>
    <x v="2"/>
    <x v="2"/>
    <s v="Women Item 34"/>
    <n v="32.06"/>
    <n v="3"/>
    <n v="5.79"/>
    <x v="2"/>
    <n v="0.18059887710542732"/>
    <x v="8"/>
    <x v="1"/>
  </r>
  <r>
    <s v="O-10603"/>
    <d v="2023-12-07T00:00:00"/>
    <x v="2"/>
    <x v="4"/>
    <x v="15"/>
    <s v="Appliances Item 66"/>
    <n v="172.19"/>
    <n v="7"/>
    <n v="44.86"/>
    <x v="2"/>
    <n v="0.26052616295952147"/>
    <x v="8"/>
    <x v="1"/>
  </r>
  <r>
    <s v="O-10604"/>
    <d v="2023-12-08T00:00:00"/>
    <x v="3"/>
    <x v="3"/>
    <x v="4"/>
    <s v="Fitness Item 144"/>
    <n v="966.95"/>
    <n v="2"/>
    <n v="65.97"/>
    <x v="2"/>
    <n v="6.8224830653084434E-2"/>
    <x v="8"/>
    <x v="1"/>
  </r>
  <r>
    <s v="O-10605"/>
    <d v="2023-12-09T00:00:00"/>
    <x v="2"/>
    <x v="1"/>
    <x v="1"/>
    <s v="Makeup Item 184"/>
    <n v="604.67999999999995"/>
    <n v="2"/>
    <n v="72.709999999999994"/>
    <x v="2"/>
    <n v="0.12024541906462922"/>
    <x v="8"/>
    <x v="1"/>
  </r>
  <r>
    <s v="O-10606"/>
    <d v="2023-12-10T00:00:00"/>
    <x v="1"/>
    <x v="1"/>
    <x v="8"/>
    <s v="Skincare Item 120"/>
    <n v="822.1"/>
    <n v="6"/>
    <n v="107.18"/>
    <x v="0"/>
    <n v="0.13037343388882131"/>
    <x v="8"/>
    <x v="1"/>
  </r>
  <r>
    <s v="O-10607"/>
    <d v="2023-12-11T00:00:00"/>
    <x v="3"/>
    <x v="1"/>
    <x v="13"/>
    <s v="Haircare Item 39"/>
    <n v="467.54"/>
    <n v="9"/>
    <n v="49.01"/>
    <x v="2"/>
    <n v="0.10482525559310432"/>
    <x v="8"/>
    <x v="1"/>
  </r>
  <r>
    <s v="O-10608"/>
    <d v="2023-12-12T00:00:00"/>
    <x v="3"/>
    <x v="4"/>
    <x v="10"/>
    <s v="Furniture Item 147"/>
    <n v="728.47"/>
    <n v="9"/>
    <n v="174.76"/>
    <x v="2"/>
    <n v="0.23990006451878593"/>
    <x v="8"/>
    <x v="1"/>
  </r>
  <r>
    <s v="O-10609"/>
    <d v="2023-12-13T00:00:00"/>
    <x v="3"/>
    <x v="1"/>
    <x v="13"/>
    <s v="Haircare Item 81"/>
    <n v="1445.19"/>
    <n v="4"/>
    <n v="297.99"/>
    <x v="0"/>
    <n v="0.20619434122848898"/>
    <x v="8"/>
    <x v="1"/>
  </r>
  <r>
    <s v="O-10610"/>
    <d v="2023-12-14T00:00:00"/>
    <x v="0"/>
    <x v="1"/>
    <x v="1"/>
    <s v="Makeup Item 148"/>
    <n v="1371.58"/>
    <n v="2"/>
    <n v="313.39"/>
    <x v="0"/>
    <n v="0.22848831274880066"/>
    <x v="8"/>
    <x v="1"/>
  </r>
  <r>
    <s v="O-10611"/>
    <d v="2023-12-15T00:00:00"/>
    <x v="2"/>
    <x v="1"/>
    <x v="8"/>
    <s v="Skincare Item 152"/>
    <n v="594.14"/>
    <n v="4"/>
    <n v="50.93"/>
    <x v="0"/>
    <n v="8.5720537247113482E-2"/>
    <x v="8"/>
    <x v="1"/>
  </r>
  <r>
    <s v="O-10612"/>
    <d v="2023-12-16T00:00:00"/>
    <x v="3"/>
    <x v="2"/>
    <x v="2"/>
    <s v="Women Item 8"/>
    <n v="557.39"/>
    <n v="7"/>
    <n v="49.97"/>
    <x v="2"/>
    <n v="8.9649975779974522E-2"/>
    <x v="8"/>
    <x v="1"/>
  </r>
  <r>
    <s v="O-10613"/>
    <d v="2023-12-17T00:00:00"/>
    <x v="1"/>
    <x v="0"/>
    <x v="9"/>
    <s v="Phones Item 82"/>
    <n v="1651.08"/>
    <n v="9"/>
    <n v="391.57"/>
    <x v="2"/>
    <n v="0.23715991956779806"/>
    <x v="8"/>
    <x v="1"/>
  </r>
  <r>
    <s v="O-10614"/>
    <d v="2023-12-18T00:00:00"/>
    <x v="1"/>
    <x v="1"/>
    <x v="13"/>
    <s v="Haircare Item 185"/>
    <n v="20.27"/>
    <n v="2"/>
    <n v="2.41"/>
    <x v="2"/>
    <n v="0.11889491859891466"/>
    <x v="8"/>
    <x v="1"/>
  </r>
  <r>
    <s v="O-10615"/>
    <d v="2023-12-19T00:00:00"/>
    <x v="1"/>
    <x v="1"/>
    <x v="1"/>
    <s v="Makeup Item 87"/>
    <n v="1174.8699999999999"/>
    <n v="8"/>
    <n v="59.87"/>
    <x v="1"/>
    <n v="5.0958829487517773E-2"/>
    <x v="8"/>
    <x v="1"/>
  </r>
  <r>
    <s v="O-10616"/>
    <d v="2023-12-20T00:00:00"/>
    <x v="3"/>
    <x v="3"/>
    <x v="4"/>
    <s v="Fitness Item 172"/>
    <n v="1486.99"/>
    <n v="9"/>
    <n v="208.27"/>
    <x v="0"/>
    <n v="0.1400614664523635"/>
    <x v="8"/>
    <x v="1"/>
  </r>
  <r>
    <s v="O-10617"/>
    <d v="2023-12-21T00:00:00"/>
    <x v="1"/>
    <x v="2"/>
    <x v="6"/>
    <s v="Kids Item 137"/>
    <n v="1688.57"/>
    <n v="4"/>
    <n v="417.47"/>
    <x v="0"/>
    <n v="0.24723286567924341"/>
    <x v="8"/>
    <x v="1"/>
  </r>
  <r>
    <s v="O-10618"/>
    <d v="2023-12-22T00:00:00"/>
    <x v="0"/>
    <x v="4"/>
    <x v="15"/>
    <s v="Appliances Item 83"/>
    <n v="1821.69"/>
    <n v="8"/>
    <n v="530.15"/>
    <x v="2"/>
    <n v="0.29102097502868213"/>
    <x v="8"/>
    <x v="1"/>
  </r>
  <r>
    <s v="O-10619"/>
    <d v="2023-12-23T00:00:00"/>
    <x v="2"/>
    <x v="2"/>
    <x v="3"/>
    <s v="Men Item 145"/>
    <n v="1380.3"/>
    <n v="1"/>
    <n v="389.99"/>
    <x v="0"/>
    <n v="0.28254002753024704"/>
    <x v="8"/>
    <x v="1"/>
  </r>
  <r>
    <s v="O-10620"/>
    <d v="2023-12-24T00:00:00"/>
    <x v="1"/>
    <x v="4"/>
    <x v="12"/>
    <s v="Decor Item 120"/>
    <n v="1358.18"/>
    <n v="7"/>
    <n v="154.22999999999999"/>
    <x v="2"/>
    <n v="0.11355637691616721"/>
    <x v="8"/>
    <x v="1"/>
  </r>
  <r>
    <s v="O-10621"/>
    <d v="2023-12-25T00:00:00"/>
    <x v="2"/>
    <x v="1"/>
    <x v="13"/>
    <s v="Haircare Item 13"/>
    <n v="381.96"/>
    <n v="8"/>
    <n v="91.77"/>
    <x v="1"/>
    <n v="0.24026076028903551"/>
    <x v="8"/>
    <x v="1"/>
  </r>
  <r>
    <s v="O-10622"/>
    <d v="2023-12-26T00:00:00"/>
    <x v="0"/>
    <x v="1"/>
    <x v="1"/>
    <s v="Makeup Item 175"/>
    <n v="1889.08"/>
    <n v="9"/>
    <n v="144.21"/>
    <x v="2"/>
    <n v="7.6338746903254498E-2"/>
    <x v="8"/>
    <x v="1"/>
  </r>
  <r>
    <s v="O-10623"/>
    <d v="2023-12-27T00:00:00"/>
    <x v="2"/>
    <x v="3"/>
    <x v="4"/>
    <s v="Fitness Item 140"/>
    <n v="1998.94"/>
    <n v="1"/>
    <n v="279.88"/>
    <x v="0"/>
    <n v="0.14001420752999089"/>
    <x v="8"/>
    <x v="1"/>
  </r>
  <r>
    <s v="O-10624"/>
    <d v="2023-12-28T00:00:00"/>
    <x v="1"/>
    <x v="0"/>
    <x v="7"/>
    <s v="Accessories Item 103"/>
    <n v="1010.79"/>
    <n v="9"/>
    <n v="170.82"/>
    <x v="2"/>
    <n v="0.16899652746861366"/>
    <x v="8"/>
    <x v="1"/>
  </r>
  <r>
    <s v="O-10625"/>
    <d v="2023-12-29T00:00:00"/>
    <x v="1"/>
    <x v="1"/>
    <x v="1"/>
    <s v="Makeup Item 146"/>
    <n v="1276.1600000000001"/>
    <n v="3"/>
    <n v="181.79"/>
    <x v="1"/>
    <n v="0.14245078986960882"/>
    <x v="8"/>
    <x v="1"/>
  </r>
  <r>
    <s v="O-10626"/>
    <d v="2023-12-30T00:00:00"/>
    <x v="3"/>
    <x v="0"/>
    <x v="7"/>
    <s v="Accessories Item 13"/>
    <n v="844.68"/>
    <n v="4"/>
    <n v="221.8"/>
    <x v="2"/>
    <n v="0.26258464744045085"/>
    <x v="8"/>
    <x v="1"/>
  </r>
  <r>
    <s v="O-10627"/>
    <d v="2023-12-31T00:00:00"/>
    <x v="1"/>
    <x v="3"/>
    <x v="4"/>
    <s v="Fitness Item 137"/>
    <n v="1321.56"/>
    <n v="6"/>
    <n v="356.87"/>
    <x v="1"/>
    <n v="0.27003692605708407"/>
    <x v="8"/>
    <x v="1"/>
  </r>
  <r>
    <s v="O-10628"/>
    <d v="2024-01-01T00:00:00"/>
    <x v="2"/>
    <x v="0"/>
    <x v="7"/>
    <s v="Accessories Item 109"/>
    <n v="1512.97"/>
    <n v="2"/>
    <n v="224.95"/>
    <x v="2"/>
    <n v="0.14868107100603448"/>
    <x v="9"/>
    <x v="2"/>
  </r>
  <r>
    <s v="O-10629"/>
    <d v="2024-01-02T00:00:00"/>
    <x v="2"/>
    <x v="4"/>
    <x v="12"/>
    <s v="Decor Item 36"/>
    <n v="1482.42"/>
    <n v="6"/>
    <n v="313.10000000000002"/>
    <x v="0"/>
    <n v="0.21120869928900043"/>
    <x v="9"/>
    <x v="2"/>
  </r>
  <r>
    <s v="O-10630"/>
    <d v="2024-01-03T00:00:00"/>
    <x v="2"/>
    <x v="0"/>
    <x v="7"/>
    <s v="Accessories Item 28"/>
    <n v="1432.15"/>
    <n v="6"/>
    <n v="278.97000000000003"/>
    <x v="1"/>
    <n v="0.19479104842369865"/>
    <x v="9"/>
    <x v="2"/>
  </r>
  <r>
    <s v="O-10631"/>
    <d v="2024-01-04T00:00:00"/>
    <x v="2"/>
    <x v="0"/>
    <x v="9"/>
    <s v="Phones Item 13"/>
    <n v="135.02000000000001"/>
    <n v="6"/>
    <n v="33.15"/>
    <x v="1"/>
    <n v="0.24551918234335651"/>
    <x v="9"/>
    <x v="2"/>
  </r>
  <r>
    <s v="O-10632"/>
    <d v="2024-01-05T00:00:00"/>
    <x v="0"/>
    <x v="0"/>
    <x v="7"/>
    <s v="Accessories Item 44"/>
    <n v="217.74"/>
    <n v="5"/>
    <n v="60.48"/>
    <x v="1"/>
    <n v="0.2777624689997244"/>
    <x v="9"/>
    <x v="2"/>
  </r>
  <r>
    <s v="O-10633"/>
    <d v="2024-01-06T00:00:00"/>
    <x v="3"/>
    <x v="3"/>
    <x v="4"/>
    <s v="Fitness Item 138"/>
    <n v="82.22"/>
    <n v="3"/>
    <n v="12.42"/>
    <x v="1"/>
    <n v="0.15105813670639748"/>
    <x v="9"/>
    <x v="2"/>
  </r>
  <r>
    <s v="O-10634"/>
    <d v="2024-01-07T00:00:00"/>
    <x v="3"/>
    <x v="4"/>
    <x v="12"/>
    <s v="Decor Item 12"/>
    <n v="1198.3599999999999"/>
    <n v="8"/>
    <n v="277.08"/>
    <x v="2"/>
    <n v="0.23121599519343103"/>
    <x v="9"/>
    <x v="2"/>
  </r>
  <r>
    <s v="O-10635"/>
    <d v="2024-01-08T00:00:00"/>
    <x v="3"/>
    <x v="4"/>
    <x v="12"/>
    <s v="Decor Item 122"/>
    <n v="1047.68"/>
    <n v="6"/>
    <n v="252.05"/>
    <x v="2"/>
    <n v="0.24057918448381185"/>
    <x v="9"/>
    <x v="2"/>
  </r>
  <r>
    <s v="O-10636"/>
    <d v="2024-01-09T00:00:00"/>
    <x v="1"/>
    <x v="3"/>
    <x v="5"/>
    <s v="Outdoor Item 156"/>
    <n v="549.16"/>
    <n v="1"/>
    <n v="99.03"/>
    <x v="2"/>
    <n v="0.1803299584820453"/>
    <x v="9"/>
    <x v="2"/>
  </r>
  <r>
    <s v="O-10637"/>
    <d v="2024-01-10T00:00:00"/>
    <x v="0"/>
    <x v="1"/>
    <x v="1"/>
    <s v="Makeup Item 27"/>
    <n v="1159.2"/>
    <n v="9"/>
    <n v="92.8"/>
    <x v="0"/>
    <n v="8.0055210489993089E-2"/>
    <x v="9"/>
    <x v="2"/>
  </r>
  <r>
    <s v="O-10638"/>
    <d v="2024-01-11T00:00:00"/>
    <x v="3"/>
    <x v="3"/>
    <x v="14"/>
    <s v="Equipment Item 135"/>
    <n v="54.75"/>
    <n v="5"/>
    <n v="7.42"/>
    <x v="0"/>
    <n v="0.13552511415525115"/>
    <x v="9"/>
    <x v="2"/>
  </r>
  <r>
    <s v="O-10639"/>
    <d v="2024-01-12T00:00:00"/>
    <x v="2"/>
    <x v="0"/>
    <x v="11"/>
    <s v="Laptops Item 186"/>
    <n v="462.06"/>
    <n v="9"/>
    <n v="66.040000000000006"/>
    <x v="0"/>
    <n v="0.14292516123447171"/>
    <x v="9"/>
    <x v="2"/>
  </r>
  <r>
    <s v="O-10640"/>
    <d v="2024-01-13T00:00:00"/>
    <x v="3"/>
    <x v="0"/>
    <x v="0"/>
    <s v="Cameras Item 43"/>
    <n v="1332.75"/>
    <n v="7"/>
    <n v="359.59"/>
    <x v="2"/>
    <n v="0.26981054211217403"/>
    <x v="9"/>
    <x v="2"/>
  </r>
  <r>
    <s v="O-10641"/>
    <d v="2024-01-14T00:00:00"/>
    <x v="2"/>
    <x v="3"/>
    <x v="14"/>
    <s v="Equipment Item 160"/>
    <n v="1799.15"/>
    <n v="1"/>
    <n v="362.59"/>
    <x v="2"/>
    <n v="0.20153405774949279"/>
    <x v="9"/>
    <x v="2"/>
  </r>
  <r>
    <s v="O-10642"/>
    <d v="2024-01-15T00:00:00"/>
    <x v="0"/>
    <x v="2"/>
    <x v="3"/>
    <s v="Men Item 45"/>
    <n v="808.05"/>
    <n v="4"/>
    <n v="222.1"/>
    <x v="2"/>
    <n v="0.27485922900810594"/>
    <x v="9"/>
    <x v="2"/>
  </r>
  <r>
    <s v="O-10643"/>
    <d v="2024-01-16T00:00:00"/>
    <x v="3"/>
    <x v="2"/>
    <x v="2"/>
    <s v="Women Item 157"/>
    <n v="508.28"/>
    <n v="7"/>
    <n v="110.76"/>
    <x v="0"/>
    <n v="0.21791138742425437"/>
    <x v="9"/>
    <x v="2"/>
  </r>
  <r>
    <s v="O-10644"/>
    <d v="2024-01-17T00:00:00"/>
    <x v="3"/>
    <x v="4"/>
    <x v="15"/>
    <s v="Appliances Item 90"/>
    <n v="1980.61"/>
    <n v="7"/>
    <n v="487.82"/>
    <x v="0"/>
    <n v="0.24629785773069915"/>
    <x v="9"/>
    <x v="2"/>
  </r>
  <r>
    <s v="O-10645"/>
    <d v="2024-01-18T00:00:00"/>
    <x v="3"/>
    <x v="4"/>
    <x v="12"/>
    <s v="Decor Item 178"/>
    <n v="1296.29"/>
    <n v="6"/>
    <n v="183.32"/>
    <x v="2"/>
    <n v="0.14141897260643838"/>
    <x v="9"/>
    <x v="2"/>
  </r>
  <r>
    <s v="O-10646"/>
    <d v="2024-01-19T00:00:00"/>
    <x v="2"/>
    <x v="1"/>
    <x v="8"/>
    <s v="Skincare Item 90"/>
    <n v="407.75"/>
    <n v="9"/>
    <n v="83.83"/>
    <x v="2"/>
    <n v="0.20559166155732678"/>
    <x v="9"/>
    <x v="2"/>
  </r>
  <r>
    <s v="O-10647"/>
    <d v="2024-01-20T00:00:00"/>
    <x v="1"/>
    <x v="2"/>
    <x v="3"/>
    <s v="Men Item 45"/>
    <n v="566.95000000000005"/>
    <n v="5"/>
    <n v="103.08"/>
    <x v="2"/>
    <n v="0.18181497486550841"/>
    <x v="9"/>
    <x v="2"/>
  </r>
  <r>
    <s v="O-10648"/>
    <d v="2024-01-21T00:00:00"/>
    <x v="3"/>
    <x v="1"/>
    <x v="13"/>
    <s v="Haircare Item 95"/>
    <n v="1354.78"/>
    <n v="1"/>
    <n v="184.65"/>
    <x v="0"/>
    <n v="0.13629519183926542"/>
    <x v="9"/>
    <x v="2"/>
  </r>
  <r>
    <s v="O-10649"/>
    <d v="2024-01-22T00:00:00"/>
    <x v="2"/>
    <x v="3"/>
    <x v="14"/>
    <s v="Equipment Item 102"/>
    <n v="595.20000000000005"/>
    <n v="9"/>
    <n v="162.21"/>
    <x v="1"/>
    <n v="0.27253024193548386"/>
    <x v="9"/>
    <x v="2"/>
  </r>
  <r>
    <s v="O-10650"/>
    <d v="2024-01-23T00:00:00"/>
    <x v="1"/>
    <x v="0"/>
    <x v="11"/>
    <s v="Laptops Item 174"/>
    <n v="143.16"/>
    <n v="1"/>
    <n v="40.46"/>
    <x v="1"/>
    <n v="0.28262084381112046"/>
    <x v="9"/>
    <x v="2"/>
  </r>
  <r>
    <s v="O-10651"/>
    <d v="2024-01-24T00:00:00"/>
    <x v="3"/>
    <x v="3"/>
    <x v="5"/>
    <s v="Outdoor Item 52"/>
    <n v="475.9"/>
    <n v="8"/>
    <n v="39.770000000000003"/>
    <x v="1"/>
    <n v="8.3567976465644053E-2"/>
    <x v="9"/>
    <x v="2"/>
  </r>
  <r>
    <s v="O-10652"/>
    <d v="2024-01-25T00:00:00"/>
    <x v="1"/>
    <x v="3"/>
    <x v="4"/>
    <s v="Fitness Item 155"/>
    <n v="1526.95"/>
    <n v="5"/>
    <n v="443.7"/>
    <x v="2"/>
    <n v="0.2905792593077704"/>
    <x v="9"/>
    <x v="2"/>
  </r>
  <r>
    <s v="O-10653"/>
    <d v="2024-01-26T00:00:00"/>
    <x v="1"/>
    <x v="2"/>
    <x v="2"/>
    <s v="Women Item 38"/>
    <n v="1858.75"/>
    <n v="2"/>
    <n v="347.06"/>
    <x v="0"/>
    <n v="0.18671687962340283"/>
    <x v="9"/>
    <x v="2"/>
  </r>
  <r>
    <s v="O-10654"/>
    <d v="2024-01-27T00:00:00"/>
    <x v="1"/>
    <x v="4"/>
    <x v="12"/>
    <s v="Decor Item 141"/>
    <n v="928.02"/>
    <n v="3"/>
    <n v="84.86"/>
    <x v="0"/>
    <n v="9.1441994784595165E-2"/>
    <x v="9"/>
    <x v="2"/>
  </r>
  <r>
    <s v="O-10655"/>
    <d v="2024-01-28T00:00:00"/>
    <x v="0"/>
    <x v="3"/>
    <x v="14"/>
    <s v="Equipment Item 8"/>
    <n v="434.19"/>
    <n v="1"/>
    <n v="36.58"/>
    <x v="2"/>
    <n v="8.4248831156866807E-2"/>
    <x v="9"/>
    <x v="2"/>
  </r>
  <r>
    <s v="O-10656"/>
    <d v="2024-01-29T00:00:00"/>
    <x v="1"/>
    <x v="4"/>
    <x v="15"/>
    <s v="Appliances Item 77"/>
    <n v="1063.92"/>
    <n v="6"/>
    <n v="82.16"/>
    <x v="1"/>
    <n v="7.7223851417399791E-2"/>
    <x v="9"/>
    <x v="2"/>
  </r>
  <r>
    <s v="O-10657"/>
    <d v="2024-01-30T00:00:00"/>
    <x v="0"/>
    <x v="3"/>
    <x v="5"/>
    <s v="Outdoor Item 99"/>
    <n v="1006.51"/>
    <n v="8"/>
    <n v="229.41"/>
    <x v="1"/>
    <n v="0.22792620043516706"/>
    <x v="9"/>
    <x v="2"/>
  </r>
  <r>
    <s v="O-10658"/>
    <d v="2024-01-31T00:00:00"/>
    <x v="1"/>
    <x v="0"/>
    <x v="7"/>
    <s v="Accessories Item 190"/>
    <n v="1147.69"/>
    <n v="5"/>
    <n v="182.77"/>
    <x v="2"/>
    <n v="0.15925032020841864"/>
    <x v="9"/>
    <x v="2"/>
  </r>
  <r>
    <s v="O-10659"/>
    <d v="2024-02-01T00:00:00"/>
    <x v="1"/>
    <x v="4"/>
    <x v="10"/>
    <s v="Furniture Item 55"/>
    <n v="443.63"/>
    <n v="2"/>
    <n v="131"/>
    <x v="1"/>
    <n v="0.29529112097919435"/>
    <x v="10"/>
    <x v="2"/>
  </r>
  <r>
    <s v="O-10660"/>
    <d v="2024-02-02T00:00:00"/>
    <x v="2"/>
    <x v="4"/>
    <x v="15"/>
    <s v="Appliances Item 108"/>
    <n v="1589.34"/>
    <n v="2"/>
    <n v="356.93"/>
    <x v="1"/>
    <n v="0.22457749757761084"/>
    <x v="10"/>
    <x v="2"/>
  </r>
  <r>
    <s v="O-10661"/>
    <d v="2024-02-03T00:00:00"/>
    <x v="3"/>
    <x v="4"/>
    <x v="15"/>
    <s v="Appliances Item 80"/>
    <n v="1955.07"/>
    <n v="7"/>
    <n v="289.74"/>
    <x v="2"/>
    <n v="0.14819929721186453"/>
    <x v="10"/>
    <x v="2"/>
  </r>
  <r>
    <s v="O-10662"/>
    <d v="2024-02-04T00:00:00"/>
    <x v="0"/>
    <x v="0"/>
    <x v="0"/>
    <s v="Cameras Item 8"/>
    <n v="1550.72"/>
    <n v="4"/>
    <n v="173.42"/>
    <x v="2"/>
    <n v="0.11183192323565827"/>
    <x v="10"/>
    <x v="2"/>
  </r>
  <r>
    <s v="O-10663"/>
    <d v="2024-02-05T00:00:00"/>
    <x v="1"/>
    <x v="4"/>
    <x v="10"/>
    <s v="Furniture Item 39"/>
    <n v="1567.07"/>
    <n v="4"/>
    <n v="299.74"/>
    <x v="2"/>
    <n v="0.19127416133293346"/>
    <x v="10"/>
    <x v="2"/>
  </r>
  <r>
    <s v="O-10664"/>
    <d v="2024-02-06T00:00:00"/>
    <x v="1"/>
    <x v="1"/>
    <x v="1"/>
    <s v="Makeup Item 86"/>
    <n v="1214.07"/>
    <n v="5"/>
    <n v="63.45"/>
    <x v="1"/>
    <n v="5.2262225407101737E-2"/>
    <x v="10"/>
    <x v="2"/>
  </r>
  <r>
    <s v="O-10665"/>
    <d v="2024-02-07T00:00:00"/>
    <x v="1"/>
    <x v="1"/>
    <x v="13"/>
    <s v="Haircare Item 156"/>
    <n v="472.78"/>
    <n v="5"/>
    <n v="49.89"/>
    <x v="0"/>
    <n v="0.10552476839121791"/>
    <x v="10"/>
    <x v="2"/>
  </r>
  <r>
    <s v="O-10666"/>
    <d v="2024-02-08T00:00:00"/>
    <x v="0"/>
    <x v="1"/>
    <x v="13"/>
    <s v="Haircare Item 55"/>
    <n v="1463.15"/>
    <n v="6"/>
    <n v="229.97"/>
    <x v="2"/>
    <n v="0.15717458907152376"/>
    <x v="10"/>
    <x v="2"/>
  </r>
  <r>
    <s v="O-10667"/>
    <d v="2024-02-09T00:00:00"/>
    <x v="1"/>
    <x v="3"/>
    <x v="4"/>
    <s v="Fitness Item 195"/>
    <n v="1791.39"/>
    <n v="4"/>
    <n v="218.95"/>
    <x v="0"/>
    <n v="0.12222352474893797"/>
    <x v="10"/>
    <x v="2"/>
  </r>
  <r>
    <s v="O-10668"/>
    <d v="2024-02-10T00:00:00"/>
    <x v="2"/>
    <x v="0"/>
    <x v="9"/>
    <s v="Phones Item 155"/>
    <n v="1910.6"/>
    <n v="1"/>
    <n v="116.98"/>
    <x v="2"/>
    <n v="6.1226839736208523E-2"/>
    <x v="10"/>
    <x v="2"/>
  </r>
  <r>
    <s v="O-10669"/>
    <d v="2024-02-11T00:00:00"/>
    <x v="0"/>
    <x v="0"/>
    <x v="0"/>
    <s v="Cameras Item 71"/>
    <n v="756.01"/>
    <n v="4"/>
    <n v="54.95"/>
    <x v="0"/>
    <n v="7.2684223753654062E-2"/>
    <x v="10"/>
    <x v="2"/>
  </r>
  <r>
    <s v="O-10670"/>
    <d v="2024-02-12T00:00:00"/>
    <x v="2"/>
    <x v="2"/>
    <x v="6"/>
    <s v="Kids Item 163"/>
    <n v="134.25"/>
    <n v="7"/>
    <n v="26.08"/>
    <x v="0"/>
    <n v="0.19426443202979515"/>
    <x v="10"/>
    <x v="2"/>
  </r>
  <r>
    <s v="O-10671"/>
    <d v="2024-02-13T00:00:00"/>
    <x v="1"/>
    <x v="4"/>
    <x v="15"/>
    <s v="Appliances Item 17"/>
    <n v="1579.35"/>
    <n v="4"/>
    <n v="231.5"/>
    <x v="1"/>
    <n v="0.14657928894798494"/>
    <x v="10"/>
    <x v="2"/>
  </r>
  <r>
    <s v="O-10672"/>
    <d v="2024-02-14T00:00:00"/>
    <x v="0"/>
    <x v="4"/>
    <x v="15"/>
    <s v="Appliances Item 91"/>
    <n v="842.9"/>
    <n v="1"/>
    <n v="92.8"/>
    <x v="2"/>
    <n v="0.11009609680863684"/>
    <x v="10"/>
    <x v="2"/>
  </r>
  <r>
    <s v="O-10673"/>
    <d v="2024-02-15T00:00:00"/>
    <x v="1"/>
    <x v="4"/>
    <x v="10"/>
    <s v="Furniture Item 154"/>
    <n v="1838.11"/>
    <n v="4"/>
    <n v="104.55"/>
    <x v="0"/>
    <n v="5.6879076877879998E-2"/>
    <x v="10"/>
    <x v="2"/>
  </r>
  <r>
    <s v="O-10674"/>
    <d v="2024-02-16T00:00:00"/>
    <x v="2"/>
    <x v="0"/>
    <x v="7"/>
    <s v="Accessories Item 41"/>
    <n v="97.08"/>
    <n v="1"/>
    <n v="9.11"/>
    <x v="0"/>
    <n v="9.3840131850020603E-2"/>
    <x v="10"/>
    <x v="2"/>
  </r>
  <r>
    <s v="O-10675"/>
    <d v="2024-02-17T00:00:00"/>
    <x v="1"/>
    <x v="1"/>
    <x v="13"/>
    <s v="Haircare Item 169"/>
    <n v="1901.91"/>
    <n v="5"/>
    <n v="437.04"/>
    <x v="1"/>
    <n v="0.22979005315708945"/>
    <x v="10"/>
    <x v="2"/>
  </r>
  <r>
    <s v="O-10676"/>
    <d v="2024-02-18T00:00:00"/>
    <x v="2"/>
    <x v="3"/>
    <x v="14"/>
    <s v="Equipment Item 99"/>
    <n v="666.15"/>
    <n v="3"/>
    <n v="80.349999999999994"/>
    <x v="1"/>
    <n v="0.12061847932147414"/>
    <x v="10"/>
    <x v="2"/>
  </r>
  <r>
    <s v="O-10677"/>
    <d v="2024-02-19T00:00:00"/>
    <x v="2"/>
    <x v="4"/>
    <x v="10"/>
    <s v="Furniture Item 199"/>
    <n v="1790.31"/>
    <n v="7"/>
    <n v="468.1"/>
    <x v="2"/>
    <n v="0.26146309856952149"/>
    <x v="10"/>
    <x v="2"/>
  </r>
  <r>
    <s v="O-10678"/>
    <d v="2024-02-20T00:00:00"/>
    <x v="3"/>
    <x v="1"/>
    <x v="1"/>
    <s v="Makeup Item 149"/>
    <n v="1530.95"/>
    <n v="7"/>
    <n v="258.86"/>
    <x v="1"/>
    <n v="0.16908455534145467"/>
    <x v="10"/>
    <x v="2"/>
  </r>
  <r>
    <s v="O-10679"/>
    <d v="2024-02-21T00:00:00"/>
    <x v="0"/>
    <x v="3"/>
    <x v="14"/>
    <s v="Equipment Item 116"/>
    <n v="424.83"/>
    <n v="8"/>
    <n v="41.01"/>
    <x v="1"/>
    <n v="9.6532730739354561E-2"/>
    <x v="10"/>
    <x v="2"/>
  </r>
  <r>
    <s v="O-10680"/>
    <d v="2024-02-22T00:00:00"/>
    <x v="2"/>
    <x v="0"/>
    <x v="9"/>
    <s v="Phones Item 112"/>
    <n v="1712.96"/>
    <n v="9"/>
    <n v="241.68"/>
    <x v="1"/>
    <n v="0.1410891089108911"/>
    <x v="10"/>
    <x v="2"/>
  </r>
  <r>
    <s v="O-10681"/>
    <d v="2024-02-23T00:00:00"/>
    <x v="1"/>
    <x v="1"/>
    <x v="1"/>
    <s v="Makeup Item 165"/>
    <n v="930.8"/>
    <n v="8"/>
    <n v="238.92"/>
    <x v="1"/>
    <n v="0.25668242372152988"/>
    <x v="10"/>
    <x v="2"/>
  </r>
  <r>
    <s v="O-10682"/>
    <d v="2024-02-24T00:00:00"/>
    <x v="0"/>
    <x v="1"/>
    <x v="1"/>
    <s v="Makeup Item 164"/>
    <n v="1393.36"/>
    <n v="8"/>
    <n v="192.49"/>
    <x v="0"/>
    <n v="0.13814807372107712"/>
    <x v="10"/>
    <x v="2"/>
  </r>
  <r>
    <s v="O-10683"/>
    <d v="2024-02-25T00:00:00"/>
    <x v="3"/>
    <x v="2"/>
    <x v="2"/>
    <s v="Women Item 67"/>
    <n v="1041.01"/>
    <n v="1"/>
    <n v="192.35"/>
    <x v="0"/>
    <n v="0.18477248057175244"/>
    <x v="10"/>
    <x v="2"/>
  </r>
  <r>
    <s v="O-10684"/>
    <d v="2024-02-26T00:00:00"/>
    <x v="1"/>
    <x v="3"/>
    <x v="14"/>
    <s v="Equipment Item 116"/>
    <n v="861.95"/>
    <n v="5"/>
    <n v="127.53"/>
    <x v="0"/>
    <n v="0.14795521782005916"/>
    <x v="10"/>
    <x v="2"/>
  </r>
  <r>
    <s v="O-10685"/>
    <d v="2024-02-27T00:00:00"/>
    <x v="2"/>
    <x v="4"/>
    <x v="12"/>
    <s v="Decor Item 62"/>
    <n v="1073.4000000000001"/>
    <n v="9"/>
    <n v="70.13"/>
    <x v="2"/>
    <n v="6.5334451276318234E-2"/>
    <x v="10"/>
    <x v="2"/>
  </r>
  <r>
    <s v="O-10686"/>
    <d v="2024-02-28T00:00:00"/>
    <x v="2"/>
    <x v="2"/>
    <x v="3"/>
    <s v="Men Item 101"/>
    <n v="1451.79"/>
    <n v="8"/>
    <n v="154.66"/>
    <x v="2"/>
    <n v="0.10653055882737862"/>
    <x v="10"/>
    <x v="2"/>
  </r>
  <r>
    <s v="O-10687"/>
    <d v="2024-02-29T00:00:00"/>
    <x v="0"/>
    <x v="1"/>
    <x v="13"/>
    <s v="Haircare Item 61"/>
    <n v="886.21"/>
    <n v="3"/>
    <n v="55.81"/>
    <x v="1"/>
    <n v="6.2976044052764024E-2"/>
    <x v="10"/>
    <x v="2"/>
  </r>
  <r>
    <s v="O-10688"/>
    <d v="2024-03-01T00:00:00"/>
    <x v="0"/>
    <x v="1"/>
    <x v="8"/>
    <s v="Skincare Item 164"/>
    <n v="1488.95"/>
    <n v="5"/>
    <n v="357"/>
    <x v="2"/>
    <n v="0.23976627824977331"/>
    <x v="11"/>
    <x v="2"/>
  </r>
  <r>
    <s v="O-10689"/>
    <d v="2024-03-02T00:00:00"/>
    <x v="0"/>
    <x v="1"/>
    <x v="13"/>
    <s v="Haircare Item 30"/>
    <n v="664.08"/>
    <n v="9"/>
    <n v="75.180000000000007"/>
    <x v="1"/>
    <n v="0.11320925189736177"/>
    <x v="11"/>
    <x v="2"/>
  </r>
  <r>
    <s v="O-10690"/>
    <d v="2024-03-03T00:00:00"/>
    <x v="2"/>
    <x v="4"/>
    <x v="12"/>
    <s v="Decor Item 185"/>
    <n v="754.46"/>
    <n v="6"/>
    <n v="114.25"/>
    <x v="1"/>
    <n v="0.15143281287278318"/>
    <x v="11"/>
    <x v="2"/>
  </r>
  <r>
    <s v="O-10691"/>
    <d v="2024-03-04T00:00:00"/>
    <x v="3"/>
    <x v="2"/>
    <x v="6"/>
    <s v="Kids Item 22"/>
    <n v="798.53"/>
    <n v="5"/>
    <n v="69.790000000000006"/>
    <x v="2"/>
    <n v="8.7398093997720819E-2"/>
    <x v="11"/>
    <x v="2"/>
  </r>
  <r>
    <s v="O-10692"/>
    <d v="2024-03-05T00:00:00"/>
    <x v="1"/>
    <x v="0"/>
    <x v="11"/>
    <s v="Laptops Item 59"/>
    <n v="840.65"/>
    <n v="2"/>
    <n v="206.09"/>
    <x v="1"/>
    <n v="0.24515553440789867"/>
    <x v="11"/>
    <x v="2"/>
  </r>
  <r>
    <s v="O-10693"/>
    <d v="2024-03-06T00:00:00"/>
    <x v="2"/>
    <x v="0"/>
    <x v="0"/>
    <s v="Cameras Item 139"/>
    <n v="1264.3"/>
    <n v="6"/>
    <n v="147.08000000000001"/>
    <x v="1"/>
    <n v="0.11633314877797993"/>
    <x v="11"/>
    <x v="2"/>
  </r>
  <r>
    <s v="O-10694"/>
    <d v="2024-03-07T00:00:00"/>
    <x v="2"/>
    <x v="0"/>
    <x v="11"/>
    <s v="Laptops Item 180"/>
    <n v="1271.68"/>
    <n v="5"/>
    <n v="241.65"/>
    <x v="2"/>
    <n v="0.19002421992954202"/>
    <x v="11"/>
    <x v="2"/>
  </r>
  <r>
    <s v="O-10695"/>
    <d v="2024-03-08T00:00:00"/>
    <x v="3"/>
    <x v="3"/>
    <x v="14"/>
    <s v="Equipment Item 51"/>
    <n v="751.18"/>
    <n v="9"/>
    <n v="121.84"/>
    <x v="1"/>
    <n v="0.1621981415905642"/>
    <x v="11"/>
    <x v="2"/>
  </r>
  <r>
    <s v="O-10696"/>
    <d v="2024-03-09T00:00:00"/>
    <x v="0"/>
    <x v="0"/>
    <x v="7"/>
    <s v="Accessories Item 104"/>
    <n v="376.79"/>
    <n v="7"/>
    <n v="62.33"/>
    <x v="1"/>
    <n v="0.16542371082035084"/>
    <x v="11"/>
    <x v="2"/>
  </r>
  <r>
    <s v="O-10697"/>
    <d v="2024-03-10T00:00:00"/>
    <x v="1"/>
    <x v="1"/>
    <x v="13"/>
    <s v="Haircare Item 151"/>
    <n v="267.75"/>
    <n v="9"/>
    <n v="31.73"/>
    <x v="1"/>
    <n v="0.11850606909430439"/>
    <x v="11"/>
    <x v="2"/>
  </r>
  <r>
    <s v="O-10698"/>
    <d v="2024-03-11T00:00:00"/>
    <x v="2"/>
    <x v="0"/>
    <x v="11"/>
    <s v="Laptops Item 73"/>
    <n v="703.78"/>
    <n v="6"/>
    <n v="152.22"/>
    <x v="1"/>
    <n v="0.21628918127824037"/>
    <x v="11"/>
    <x v="2"/>
  </r>
  <r>
    <s v="O-10699"/>
    <d v="2024-03-12T00:00:00"/>
    <x v="2"/>
    <x v="4"/>
    <x v="15"/>
    <s v="Appliances Item 3"/>
    <n v="255.37"/>
    <n v="1"/>
    <n v="59.19"/>
    <x v="2"/>
    <n v="0.23178133688373731"/>
    <x v="11"/>
    <x v="2"/>
  </r>
  <r>
    <s v="O-10700"/>
    <d v="2024-03-13T00:00:00"/>
    <x v="3"/>
    <x v="2"/>
    <x v="2"/>
    <s v="Women Item 109"/>
    <n v="1895.24"/>
    <n v="1"/>
    <n v="242.58"/>
    <x v="1"/>
    <n v="0.12799434372427768"/>
    <x v="11"/>
    <x v="2"/>
  </r>
  <r>
    <s v="O-10701"/>
    <d v="2024-03-14T00:00:00"/>
    <x v="2"/>
    <x v="0"/>
    <x v="9"/>
    <s v="Phones Item 15"/>
    <n v="1023.21"/>
    <n v="4"/>
    <n v="149.47999999999999"/>
    <x v="2"/>
    <n v="0.14608926808768483"/>
    <x v="11"/>
    <x v="2"/>
  </r>
  <r>
    <s v="O-10702"/>
    <d v="2024-03-15T00:00:00"/>
    <x v="0"/>
    <x v="0"/>
    <x v="7"/>
    <s v="Accessories Item 116"/>
    <n v="266.27999999999997"/>
    <n v="1"/>
    <n v="77.900000000000006"/>
    <x v="1"/>
    <n v="0.29254919633468535"/>
    <x v="11"/>
    <x v="2"/>
  </r>
  <r>
    <s v="O-10703"/>
    <d v="2024-03-16T00:00:00"/>
    <x v="3"/>
    <x v="0"/>
    <x v="11"/>
    <s v="Laptops Item 132"/>
    <n v="1126.78"/>
    <n v="3"/>
    <n v="255.27"/>
    <x v="0"/>
    <n v="0.22654821704325601"/>
    <x v="11"/>
    <x v="2"/>
  </r>
  <r>
    <s v="O-10704"/>
    <d v="2024-03-17T00:00:00"/>
    <x v="0"/>
    <x v="2"/>
    <x v="3"/>
    <s v="Men Item 83"/>
    <n v="870.6"/>
    <n v="5"/>
    <n v="199.9"/>
    <x v="0"/>
    <n v="0.22961176200321617"/>
    <x v="11"/>
    <x v="2"/>
  </r>
  <r>
    <s v="O-10705"/>
    <d v="2024-03-18T00:00:00"/>
    <x v="1"/>
    <x v="0"/>
    <x v="7"/>
    <s v="Accessories Item 13"/>
    <n v="1923.8"/>
    <n v="3"/>
    <n v="554.28"/>
    <x v="1"/>
    <n v="0.28811726790726688"/>
    <x v="11"/>
    <x v="2"/>
  </r>
  <r>
    <s v="O-10706"/>
    <d v="2024-03-19T00:00:00"/>
    <x v="1"/>
    <x v="0"/>
    <x v="11"/>
    <s v="Laptops Item 123"/>
    <n v="1761.1"/>
    <n v="9"/>
    <n v="157.30000000000001"/>
    <x v="0"/>
    <n v="8.931917551530294E-2"/>
    <x v="11"/>
    <x v="2"/>
  </r>
  <r>
    <s v="O-10707"/>
    <d v="2024-03-20T00:00:00"/>
    <x v="2"/>
    <x v="1"/>
    <x v="1"/>
    <s v="Makeup Item 172"/>
    <n v="594.29"/>
    <n v="8"/>
    <n v="151.01"/>
    <x v="0"/>
    <n v="0.25410153292163756"/>
    <x v="11"/>
    <x v="2"/>
  </r>
  <r>
    <s v="O-10708"/>
    <d v="2024-03-21T00:00:00"/>
    <x v="1"/>
    <x v="0"/>
    <x v="0"/>
    <s v="Cameras Item 72"/>
    <n v="515.92999999999995"/>
    <n v="8"/>
    <n v="146.43"/>
    <x v="1"/>
    <n v="0.28381757215126086"/>
    <x v="11"/>
    <x v="2"/>
  </r>
  <r>
    <s v="O-10709"/>
    <d v="2024-03-22T00:00:00"/>
    <x v="1"/>
    <x v="3"/>
    <x v="14"/>
    <s v="Equipment Item 16"/>
    <n v="1964.17"/>
    <n v="3"/>
    <n v="104.18"/>
    <x v="0"/>
    <n v="5.3040215459965283E-2"/>
    <x v="11"/>
    <x v="2"/>
  </r>
  <r>
    <s v="O-10710"/>
    <d v="2024-03-23T00:00:00"/>
    <x v="3"/>
    <x v="3"/>
    <x v="4"/>
    <s v="Fitness Item 72"/>
    <n v="122.63"/>
    <n v="1"/>
    <n v="6.74"/>
    <x v="1"/>
    <n v="5.4962081056837649E-2"/>
    <x v="11"/>
    <x v="2"/>
  </r>
  <r>
    <s v="O-10711"/>
    <d v="2024-03-24T00:00:00"/>
    <x v="2"/>
    <x v="4"/>
    <x v="15"/>
    <s v="Appliances Item 75"/>
    <n v="399.03"/>
    <n v="1"/>
    <n v="113.22"/>
    <x v="0"/>
    <n v="0.28373806480715735"/>
    <x v="11"/>
    <x v="2"/>
  </r>
  <r>
    <s v="O-10712"/>
    <d v="2024-03-25T00:00:00"/>
    <x v="1"/>
    <x v="0"/>
    <x v="7"/>
    <s v="Accessories Item 57"/>
    <n v="1758.41"/>
    <n v="5"/>
    <n v="117.97"/>
    <x v="2"/>
    <n v="6.7089017919597815E-2"/>
    <x v="11"/>
    <x v="2"/>
  </r>
  <r>
    <s v="O-10713"/>
    <d v="2024-03-26T00:00:00"/>
    <x v="2"/>
    <x v="1"/>
    <x v="13"/>
    <s v="Haircare Item 33"/>
    <n v="585.79999999999995"/>
    <n v="9"/>
    <n v="129.66999999999999"/>
    <x v="0"/>
    <n v="0.22135541140320927"/>
    <x v="11"/>
    <x v="2"/>
  </r>
  <r>
    <s v="O-10714"/>
    <d v="2024-03-27T00:00:00"/>
    <x v="1"/>
    <x v="0"/>
    <x v="11"/>
    <s v="Laptops Item 123"/>
    <n v="132.04"/>
    <n v="7"/>
    <n v="37.78"/>
    <x v="0"/>
    <n v="0.28612541654044232"/>
    <x v="11"/>
    <x v="2"/>
  </r>
  <r>
    <s v="O-10715"/>
    <d v="2024-03-28T00:00:00"/>
    <x v="2"/>
    <x v="4"/>
    <x v="12"/>
    <s v="Decor Item 84"/>
    <n v="1349.53"/>
    <n v="7"/>
    <n v="134.61000000000001"/>
    <x v="0"/>
    <n v="9.9745837439701238E-2"/>
    <x v="11"/>
    <x v="2"/>
  </r>
  <r>
    <s v="O-10716"/>
    <d v="2024-03-29T00:00:00"/>
    <x v="2"/>
    <x v="0"/>
    <x v="7"/>
    <s v="Accessories Item 128"/>
    <n v="1506.86"/>
    <n v="8"/>
    <n v="448.43"/>
    <x v="0"/>
    <n v="0.29759234434519466"/>
    <x v="11"/>
    <x v="2"/>
  </r>
  <r>
    <s v="O-10717"/>
    <d v="2024-03-30T00:00:00"/>
    <x v="0"/>
    <x v="4"/>
    <x v="10"/>
    <s v="Furniture Item 63"/>
    <n v="875.4"/>
    <n v="9"/>
    <n v="46.28"/>
    <x v="1"/>
    <n v="5.286726068083162E-2"/>
    <x v="11"/>
    <x v="2"/>
  </r>
  <r>
    <s v="O-10718"/>
    <d v="2024-03-31T00:00:00"/>
    <x v="1"/>
    <x v="4"/>
    <x v="10"/>
    <s v="Furniture Item 157"/>
    <n v="1954.67"/>
    <n v="2"/>
    <n v="572.07000000000005"/>
    <x v="1"/>
    <n v="0.29266832764609885"/>
    <x v="11"/>
    <x v="2"/>
  </r>
  <r>
    <s v="O-10719"/>
    <d v="2024-04-01T00:00:00"/>
    <x v="1"/>
    <x v="4"/>
    <x v="15"/>
    <s v="Appliances Item 156"/>
    <n v="819.13"/>
    <n v="5"/>
    <n v="79.83"/>
    <x v="0"/>
    <n v="9.7457058098226163E-2"/>
    <x v="0"/>
    <x v="2"/>
  </r>
  <r>
    <s v="O-10720"/>
    <d v="2024-04-02T00:00:00"/>
    <x v="0"/>
    <x v="2"/>
    <x v="2"/>
    <s v="Women Item 169"/>
    <n v="424.79"/>
    <n v="1"/>
    <n v="63.46"/>
    <x v="2"/>
    <n v="0.14939146401751452"/>
    <x v="0"/>
    <x v="2"/>
  </r>
  <r>
    <s v="O-10721"/>
    <d v="2024-04-03T00:00:00"/>
    <x v="0"/>
    <x v="3"/>
    <x v="5"/>
    <s v="Outdoor Item 10"/>
    <n v="1043.24"/>
    <n v="3"/>
    <n v="122.2"/>
    <x v="2"/>
    <n v="0.11713507917641194"/>
    <x v="0"/>
    <x v="2"/>
  </r>
  <r>
    <s v="O-10722"/>
    <d v="2024-04-04T00:00:00"/>
    <x v="1"/>
    <x v="1"/>
    <x v="1"/>
    <s v="Makeup Item 24"/>
    <n v="1320.38"/>
    <n v="6"/>
    <n v="113.53"/>
    <x v="0"/>
    <n v="8.5982823126675642E-2"/>
    <x v="0"/>
    <x v="2"/>
  </r>
  <r>
    <s v="O-10723"/>
    <d v="2024-04-05T00:00:00"/>
    <x v="1"/>
    <x v="0"/>
    <x v="0"/>
    <s v="Cameras Item 39"/>
    <n v="360.78"/>
    <n v="6"/>
    <n v="24.2"/>
    <x v="1"/>
    <n v="6.7076888962802825E-2"/>
    <x v="0"/>
    <x v="2"/>
  </r>
  <r>
    <s v="O-10724"/>
    <d v="2024-04-06T00:00:00"/>
    <x v="3"/>
    <x v="1"/>
    <x v="13"/>
    <s v="Haircare Item 182"/>
    <n v="1397.68"/>
    <n v="3"/>
    <n v="287.8"/>
    <x v="2"/>
    <n v="0.2059126552572835"/>
    <x v="0"/>
    <x v="2"/>
  </r>
  <r>
    <s v="O-10725"/>
    <d v="2024-04-07T00:00:00"/>
    <x v="1"/>
    <x v="3"/>
    <x v="4"/>
    <s v="Fitness Item 66"/>
    <n v="549.46"/>
    <n v="2"/>
    <n v="124.15"/>
    <x v="1"/>
    <n v="0.22594911367524478"/>
    <x v="0"/>
    <x v="2"/>
  </r>
  <r>
    <s v="O-10726"/>
    <d v="2024-04-08T00:00:00"/>
    <x v="0"/>
    <x v="2"/>
    <x v="6"/>
    <s v="Kids Item 27"/>
    <n v="1358.53"/>
    <n v="1"/>
    <n v="296.18"/>
    <x v="1"/>
    <n v="0.2180150603961635"/>
    <x v="0"/>
    <x v="2"/>
  </r>
  <r>
    <s v="O-10727"/>
    <d v="2024-04-09T00:00:00"/>
    <x v="2"/>
    <x v="0"/>
    <x v="7"/>
    <s v="Accessories Item 187"/>
    <n v="556.77"/>
    <n v="2"/>
    <n v="148.38999999999999"/>
    <x v="2"/>
    <n v="0.26651938861648433"/>
    <x v="0"/>
    <x v="2"/>
  </r>
  <r>
    <s v="O-10728"/>
    <d v="2024-04-10T00:00:00"/>
    <x v="0"/>
    <x v="4"/>
    <x v="12"/>
    <s v="Decor Item 83"/>
    <n v="229.69"/>
    <n v="5"/>
    <n v="65.73"/>
    <x v="2"/>
    <n v="0.28616831381427144"/>
    <x v="0"/>
    <x v="2"/>
  </r>
  <r>
    <s v="O-10729"/>
    <d v="2024-04-11T00:00:00"/>
    <x v="1"/>
    <x v="0"/>
    <x v="9"/>
    <s v="Phones Item 179"/>
    <n v="1768.33"/>
    <n v="8"/>
    <n v="348.18"/>
    <x v="1"/>
    <n v="0.19689763788433157"/>
    <x v="0"/>
    <x v="2"/>
  </r>
  <r>
    <s v="O-10730"/>
    <d v="2024-04-12T00:00:00"/>
    <x v="2"/>
    <x v="0"/>
    <x v="0"/>
    <s v="Cameras Item 158"/>
    <n v="1366.62"/>
    <n v="1"/>
    <n v="73.59"/>
    <x v="1"/>
    <n v="5.3848180181762309E-2"/>
    <x v="0"/>
    <x v="2"/>
  </r>
  <r>
    <s v="O-10731"/>
    <d v="2024-04-13T00:00:00"/>
    <x v="3"/>
    <x v="0"/>
    <x v="11"/>
    <s v="Laptops Item 7"/>
    <n v="521.14"/>
    <n v="4"/>
    <n v="148.47999999999999"/>
    <x v="2"/>
    <n v="0.2849138427294009"/>
    <x v="0"/>
    <x v="2"/>
  </r>
  <r>
    <s v="O-10732"/>
    <d v="2024-04-14T00:00:00"/>
    <x v="0"/>
    <x v="3"/>
    <x v="5"/>
    <s v="Outdoor Item 164"/>
    <n v="1456.94"/>
    <n v="6"/>
    <n v="428.71"/>
    <x v="0"/>
    <n v="0.294253709830192"/>
    <x v="0"/>
    <x v="2"/>
  </r>
  <r>
    <s v="O-10733"/>
    <d v="2024-04-15T00:00:00"/>
    <x v="3"/>
    <x v="4"/>
    <x v="15"/>
    <s v="Appliances Item 74"/>
    <n v="36.47"/>
    <n v="6"/>
    <n v="4.8099999999999996"/>
    <x v="0"/>
    <n v="0.13188922401974223"/>
    <x v="0"/>
    <x v="2"/>
  </r>
  <r>
    <s v="O-10734"/>
    <d v="2024-04-16T00:00:00"/>
    <x v="1"/>
    <x v="2"/>
    <x v="3"/>
    <s v="Men Item 85"/>
    <n v="1830.81"/>
    <n v="4"/>
    <n v="290.37"/>
    <x v="0"/>
    <n v="0.15860193029314895"/>
    <x v="0"/>
    <x v="2"/>
  </r>
  <r>
    <s v="O-10735"/>
    <d v="2024-04-17T00:00:00"/>
    <x v="0"/>
    <x v="2"/>
    <x v="3"/>
    <s v="Men Item 155"/>
    <n v="37.93"/>
    <n v="8"/>
    <n v="4.07"/>
    <x v="0"/>
    <n v="0.10730292644344847"/>
    <x v="0"/>
    <x v="2"/>
  </r>
  <r>
    <s v="O-10736"/>
    <d v="2024-04-18T00:00:00"/>
    <x v="3"/>
    <x v="2"/>
    <x v="3"/>
    <s v="Men Item 121"/>
    <n v="1347.94"/>
    <n v="2"/>
    <n v="308.02"/>
    <x v="2"/>
    <n v="0.22851165482143121"/>
    <x v="0"/>
    <x v="2"/>
  </r>
  <r>
    <s v="O-10737"/>
    <d v="2024-04-19T00:00:00"/>
    <x v="0"/>
    <x v="2"/>
    <x v="6"/>
    <s v="Kids Item 39"/>
    <n v="414.56"/>
    <n v="7"/>
    <n v="25.91"/>
    <x v="2"/>
    <n v="6.25E-2"/>
    <x v="0"/>
    <x v="2"/>
  </r>
  <r>
    <s v="O-10738"/>
    <d v="2024-04-20T00:00:00"/>
    <x v="1"/>
    <x v="0"/>
    <x v="9"/>
    <s v="Phones Item 47"/>
    <n v="78.42"/>
    <n v="1"/>
    <n v="8.1199999999999992"/>
    <x v="0"/>
    <n v="0.10354501402703391"/>
    <x v="0"/>
    <x v="2"/>
  </r>
  <r>
    <s v="O-10739"/>
    <d v="2024-04-21T00:00:00"/>
    <x v="2"/>
    <x v="2"/>
    <x v="2"/>
    <s v="Women Item 43"/>
    <n v="510.17"/>
    <n v="8"/>
    <n v="70.77"/>
    <x v="1"/>
    <n v="0.13871846639355509"/>
    <x v="0"/>
    <x v="2"/>
  </r>
  <r>
    <s v="O-10740"/>
    <d v="2024-04-22T00:00:00"/>
    <x v="2"/>
    <x v="1"/>
    <x v="1"/>
    <s v="Makeup Item 161"/>
    <n v="1352.29"/>
    <n v="2"/>
    <n v="193.45"/>
    <x v="2"/>
    <n v="0.14305363494516707"/>
    <x v="0"/>
    <x v="2"/>
  </r>
  <r>
    <s v="O-10741"/>
    <d v="2024-04-23T00:00:00"/>
    <x v="0"/>
    <x v="4"/>
    <x v="12"/>
    <s v="Decor Item 138"/>
    <n v="1772.23"/>
    <n v="3"/>
    <n v="307.26"/>
    <x v="2"/>
    <n v="0.17337478769685649"/>
    <x v="0"/>
    <x v="2"/>
  </r>
  <r>
    <s v="O-10742"/>
    <d v="2024-04-24T00:00:00"/>
    <x v="3"/>
    <x v="3"/>
    <x v="5"/>
    <s v="Outdoor Item 77"/>
    <n v="1577.8"/>
    <n v="3"/>
    <n v="322.18"/>
    <x v="2"/>
    <n v="0.20419571555330207"/>
    <x v="0"/>
    <x v="2"/>
  </r>
  <r>
    <s v="O-10743"/>
    <d v="2024-04-25T00:00:00"/>
    <x v="0"/>
    <x v="0"/>
    <x v="0"/>
    <s v="Cameras Item 8"/>
    <n v="155.55000000000001"/>
    <n v="1"/>
    <n v="43.58"/>
    <x v="1"/>
    <n v="0.28016714882674376"/>
    <x v="0"/>
    <x v="2"/>
  </r>
  <r>
    <s v="O-10744"/>
    <d v="2024-04-26T00:00:00"/>
    <x v="1"/>
    <x v="2"/>
    <x v="2"/>
    <s v="Women Item 107"/>
    <n v="1085.9000000000001"/>
    <n v="1"/>
    <n v="289.17"/>
    <x v="1"/>
    <n v="0.26629523897228102"/>
    <x v="0"/>
    <x v="2"/>
  </r>
  <r>
    <s v="O-10745"/>
    <d v="2024-04-27T00:00:00"/>
    <x v="1"/>
    <x v="2"/>
    <x v="2"/>
    <s v="Women Item 37"/>
    <n v="1339.6"/>
    <n v="8"/>
    <n v="330.67"/>
    <x v="1"/>
    <n v="0.24684234099731267"/>
    <x v="0"/>
    <x v="2"/>
  </r>
  <r>
    <s v="O-10746"/>
    <d v="2024-04-28T00:00:00"/>
    <x v="0"/>
    <x v="2"/>
    <x v="3"/>
    <s v="Men Item 58"/>
    <n v="511.8"/>
    <n v="6"/>
    <n v="80.3"/>
    <x v="1"/>
    <n v="0.15689722547870261"/>
    <x v="0"/>
    <x v="2"/>
  </r>
  <r>
    <s v="O-10747"/>
    <d v="2024-04-29T00:00:00"/>
    <x v="1"/>
    <x v="4"/>
    <x v="12"/>
    <s v="Decor Item 114"/>
    <n v="1305.6600000000001"/>
    <n v="5"/>
    <n v="321.19"/>
    <x v="2"/>
    <n v="0.24599819248502672"/>
    <x v="0"/>
    <x v="2"/>
  </r>
  <r>
    <s v="O-10748"/>
    <d v="2024-04-30T00:00:00"/>
    <x v="0"/>
    <x v="3"/>
    <x v="4"/>
    <s v="Fitness Item 98"/>
    <n v="1010.16"/>
    <n v="9"/>
    <n v="101.29"/>
    <x v="1"/>
    <n v="0.10027124415934111"/>
    <x v="0"/>
    <x v="2"/>
  </r>
  <r>
    <s v="O-10749"/>
    <d v="2024-05-01T00:00:00"/>
    <x v="0"/>
    <x v="2"/>
    <x v="6"/>
    <s v="Kids Item 135"/>
    <n v="131.22999999999999"/>
    <n v="6"/>
    <n v="7.49"/>
    <x v="0"/>
    <n v="5.7075363864969905E-2"/>
    <x v="1"/>
    <x v="2"/>
  </r>
  <r>
    <s v="O-10750"/>
    <d v="2024-05-02T00:00:00"/>
    <x v="3"/>
    <x v="3"/>
    <x v="4"/>
    <s v="Fitness Item 129"/>
    <n v="1533.59"/>
    <n v="6"/>
    <n v="327.87"/>
    <x v="0"/>
    <n v="0.21379247386850464"/>
    <x v="1"/>
    <x v="2"/>
  </r>
  <r>
    <s v="O-10751"/>
    <d v="2024-05-03T00:00:00"/>
    <x v="3"/>
    <x v="2"/>
    <x v="2"/>
    <s v="Women Item 102"/>
    <n v="335.79"/>
    <n v="5"/>
    <n v="82.82"/>
    <x v="2"/>
    <n v="0.2466422466422466"/>
    <x v="1"/>
    <x v="2"/>
  </r>
  <r>
    <s v="O-10752"/>
    <d v="2024-05-04T00:00:00"/>
    <x v="0"/>
    <x v="2"/>
    <x v="3"/>
    <s v="Men Item 199"/>
    <n v="1446.72"/>
    <n v="4"/>
    <n v="233.72"/>
    <x v="1"/>
    <n v="0.16155164786551648"/>
    <x v="1"/>
    <x v="2"/>
  </r>
  <r>
    <s v="O-10753"/>
    <d v="2024-05-05T00:00:00"/>
    <x v="0"/>
    <x v="1"/>
    <x v="1"/>
    <s v="Makeup Item 129"/>
    <n v="633.41999999999996"/>
    <n v="8"/>
    <n v="119.3"/>
    <x v="0"/>
    <n v="0.18834264784818922"/>
    <x v="1"/>
    <x v="2"/>
  </r>
  <r>
    <s v="O-10754"/>
    <d v="2024-05-06T00:00:00"/>
    <x v="0"/>
    <x v="3"/>
    <x v="4"/>
    <s v="Fitness Item 21"/>
    <n v="1490.21"/>
    <n v="4"/>
    <n v="399.61"/>
    <x v="0"/>
    <n v="0.26815683695586529"/>
    <x v="1"/>
    <x v="2"/>
  </r>
  <r>
    <s v="O-10755"/>
    <d v="2024-05-07T00:00:00"/>
    <x v="0"/>
    <x v="0"/>
    <x v="7"/>
    <s v="Accessories Item 46"/>
    <n v="1829.3"/>
    <n v="5"/>
    <n v="240.89"/>
    <x v="1"/>
    <n v="0.13168425080631935"/>
    <x v="1"/>
    <x v="2"/>
  </r>
  <r>
    <s v="O-10756"/>
    <d v="2024-05-08T00:00:00"/>
    <x v="2"/>
    <x v="2"/>
    <x v="2"/>
    <s v="Women Item 106"/>
    <n v="557.57000000000005"/>
    <n v="1"/>
    <n v="72.290000000000006"/>
    <x v="0"/>
    <n v="0.12965188227487132"/>
    <x v="1"/>
    <x v="2"/>
  </r>
  <r>
    <s v="O-10757"/>
    <d v="2024-05-09T00:00:00"/>
    <x v="0"/>
    <x v="1"/>
    <x v="13"/>
    <s v="Haircare Item 6"/>
    <n v="1115.67"/>
    <n v="3"/>
    <n v="153.1"/>
    <x v="0"/>
    <n v="0.13722695779217867"/>
    <x v="1"/>
    <x v="2"/>
  </r>
  <r>
    <s v="O-10758"/>
    <d v="2024-05-10T00:00:00"/>
    <x v="1"/>
    <x v="3"/>
    <x v="5"/>
    <s v="Outdoor Item 118"/>
    <n v="1593.08"/>
    <n v="7"/>
    <n v="413.37"/>
    <x v="2"/>
    <n v="0.2594784944886635"/>
    <x v="1"/>
    <x v="2"/>
  </r>
  <r>
    <s v="O-10759"/>
    <d v="2024-05-11T00:00:00"/>
    <x v="3"/>
    <x v="0"/>
    <x v="0"/>
    <s v="Cameras Item 195"/>
    <n v="840.74"/>
    <n v="6"/>
    <n v="104.24"/>
    <x v="0"/>
    <n v="0.12398601232247781"/>
    <x v="1"/>
    <x v="2"/>
  </r>
  <r>
    <s v="O-10760"/>
    <d v="2024-05-12T00:00:00"/>
    <x v="2"/>
    <x v="2"/>
    <x v="6"/>
    <s v="Kids Item 165"/>
    <n v="833.97"/>
    <n v="4"/>
    <n v="89.57"/>
    <x v="0"/>
    <n v="0.10740194491408563"/>
    <x v="1"/>
    <x v="2"/>
  </r>
  <r>
    <s v="O-10761"/>
    <d v="2024-05-13T00:00:00"/>
    <x v="2"/>
    <x v="4"/>
    <x v="15"/>
    <s v="Appliances Item 145"/>
    <n v="1486.44"/>
    <n v="5"/>
    <n v="341.41"/>
    <x v="0"/>
    <n v="0.22968300099566752"/>
    <x v="1"/>
    <x v="2"/>
  </r>
  <r>
    <s v="O-10762"/>
    <d v="2024-05-14T00:00:00"/>
    <x v="2"/>
    <x v="4"/>
    <x v="10"/>
    <s v="Furniture Item 108"/>
    <n v="1039.57"/>
    <n v="6"/>
    <n v="192.68"/>
    <x v="2"/>
    <n v="0.18534586415537196"/>
    <x v="1"/>
    <x v="2"/>
  </r>
  <r>
    <s v="O-10763"/>
    <d v="2024-05-15T00:00:00"/>
    <x v="1"/>
    <x v="2"/>
    <x v="2"/>
    <s v="Women Item 126"/>
    <n v="348.18"/>
    <n v="3"/>
    <n v="38.43"/>
    <x v="2"/>
    <n v="0.11037394451145958"/>
    <x v="1"/>
    <x v="2"/>
  </r>
  <r>
    <s v="O-10764"/>
    <d v="2024-05-16T00:00:00"/>
    <x v="3"/>
    <x v="2"/>
    <x v="2"/>
    <s v="Women Item 115"/>
    <n v="460.28"/>
    <n v="9"/>
    <n v="47.4"/>
    <x v="0"/>
    <n v="0.10298079429912228"/>
    <x v="1"/>
    <x v="2"/>
  </r>
  <r>
    <s v="O-10765"/>
    <d v="2024-05-17T00:00:00"/>
    <x v="2"/>
    <x v="0"/>
    <x v="9"/>
    <s v="Phones Item 167"/>
    <n v="134.31"/>
    <n v="6"/>
    <n v="15.7"/>
    <x v="2"/>
    <n v="0.11689375325738961"/>
    <x v="1"/>
    <x v="2"/>
  </r>
  <r>
    <s v="O-10766"/>
    <d v="2024-05-18T00:00:00"/>
    <x v="1"/>
    <x v="3"/>
    <x v="14"/>
    <s v="Equipment Item 143"/>
    <n v="1503.79"/>
    <n v="8"/>
    <n v="306.89"/>
    <x v="1"/>
    <n v="0.20407769701886566"/>
    <x v="1"/>
    <x v="2"/>
  </r>
  <r>
    <s v="O-10767"/>
    <d v="2024-05-19T00:00:00"/>
    <x v="1"/>
    <x v="2"/>
    <x v="6"/>
    <s v="Kids Item 137"/>
    <n v="843.23"/>
    <n v="1"/>
    <n v="156.19"/>
    <x v="2"/>
    <n v="0.18522822954591273"/>
    <x v="1"/>
    <x v="2"/>
  </r>
  <r>
    <s v="O-10768"/>
    <d v="2024-05-20T00:00:00"/>
    <x v="1"/>
    <x v="0"/>
    <x v="0"/>
    <s v="Cameras Item 168"/>
    <n v="1410.25"/>
    <n v="1"/>
    <n v="142.32"/>
    <x v="2"/>
    <n v="0.10091827690125864"/>
    <x v="1"/>
    <x v="2"/>
  </r>
  <r>
    <s v="O-10769"/>
    <d v="2024-05-21T00:00:00"/>
    <x v="3"/>
    <x v="0"/>
    <x v="9"/>
    <s v="Phones Item 141"/>
    <n v="1743.64"/>
    <n v="2"/>
    <n v="96.83"/>
    <x v="2"/>
    <n v="5.5533252276846135E-2"/>
    <x v="1"/>
    <x v="2"/>
  </r>
  <r>
    <s v="O-10770"/>
    <d v="2024-05-22T00:00:00"/>
    <x v="1"/>
    <x v="1"/>
    <x v="13"/>
    <s v="Haircare Item 48"/>
    <n v="1219.1600000000001"/>
    <n v="7"/>
    <n v="104.49"/>
    <x v="1"/>
    <n v="8.5706552052232668E-2"/>
    <x v="1"/>
    <x v="2"/>
  </r>
  <r>
    <s v="O-10771"/>
    <d v="2024-05-23T00:00:00"/>
    <x v="2"/>
    <x v="2"/>
    <x v="3"/>
    <s v="Men Item 17"/>
    <n v="428.38"/>
    <n v="5"/>
    <n v="103.33"/>
    <x v="2"/>
    <n v="0.24121107427984501"/>
    <x v="1"/>
    <x v="2"/>
  </r>
  <r>
    <s v="O-10772"/>
    <d v="2024-05-24T00:00:00"/>
    <x v="0"/>
    <x v="4"/>
    <x v="12"/>
    <s v="Decor Item 7"/>
    <n v="1550.51"/>
    <n v="7"/>
    <n v="240.05"/>
    <x v="2"/>
    <n v="0.15482002695887159"/>
    <x v="1"/>
    <x v="2"/>
  </r>
  <r>
    <s v="O-10773"/>
    <d v="2024-05-25T00:00:00"/>
    <x v="1"/>
    <x v="1"/>
    <x v="1"/>
    <s v="Makeup Item 17"/>
    <n v="1717.47"/>
    <n v="3"/>
    <n v="326.61"/>
    <x v="2"/>
    <n v="0.19016926059843842"/>
    <x v="1"/>
    <x v="2"/>
  </r>
  <r>
    <s v="O-10774"/>
    <d v="2024-05-26T00:00:00"/>
    <x v="0"/>
    <x v="3"/>
    <x v="5"/>
    <s v="Outdoor Item 160"/>
    <n v="1434.99"/>
    <n v="9"/>
    <n v="334.11"/>
    <x v="0"/>
    <n v="0.23283089080760144"/>
    <x v="1"/>
    <x v="2"/>
  </r>
  <r>
    <s v="O-10775"/>
    <d v="2024-05-27T00:00:00"/>
    <x v="2"/>
    <x v="0"/>
    <x v="11"/>
    <s v="Laptops Item 120"/>
    <n v="1510.22"/>
    <n v="9"/>
    <n v="405.56"/>
    <x v="2"/>
    <n v="0.26854365589119467"/>
    <x v="1"/>
    <x v="2"/>
  </r>
  <r>
    <s v="O-10776"/>
    <d v="2024-05-28T00:00:00"/>
    <x v="3"/>
    <x v="3"/>
    <x v="5"/>
    <s v="Outdoor Item 108"/>
    <n v="680.58"/>
    <n v="9"/>
    <n v="124.47"/>
    <x v="0"/>
    <n v="0.18288812483469979"/>
    <x v="1"/>
    <x v="2"/>
  </r>
  <r>
    <s v="O-10777"/>
    <d v="2024-05-29T00:00:00"/>
    <x v="1"/>
    <x v="4"/>
    <x v="15"/>
    <s v="Appliances Item 83"/>
    <n v="1644.79"/>
    <n v="9"/>
    <n v="445.15"/>
    <x v="0"/>
    <n v="0.27064245283592431"/>
    <x v="1"/>
    <x v="2"/>
  </r>
  <r>
    <s v="O-10778"/>
    <d v="2024-05-30T00:00:00"/>
    <x v="2"/>
    <x v="0"/>
    <x v="9"/>
    <s v="Phones Item 181"/>
    <n v="831.28"/>
    <n v="9"/>
    <n v="208.56"/>
    <x v="2"/>
    <n v="0.25089019343662788"/>
    <x v="1"/>
    <x v="2"/>
  </r>
  <r>
    <s v="O-10779"/>
    <d v="2024-05-31T00:00:00"/>
    <x v="2"/>
    <x v="3"/>
    <x v="5"/>
    <s v="Outdoor Item 128"/>
    <n v="422.88"/>
    <n v="8"/>
    <n v="113.9"/>
    <x v="2"/>
    <n v="0.26934354899735152"/>
    <x v="1"/>
    <x v="2"/>
  </r>
  <r>
    <s v="O-10780"/>
    <d v="2024-06-01T00:00:00"/>
    <x v="1"/>
    <x v="0"/>
    <x v="9"/>
    <s v="Phones Item 185"/>
    <n v="1491.3"/>
    <n v="4"/>
    <n v="316.27"/>
    <x v="1"/>
    <n v="0.21207671159391134"/>
    <x v="2"/>
    <x v="2"/>
  </r>
  <r>
    <s v="O-10781"/>
    <d v="2024-06-02T00:00:00"/>
    <x v="3"/>
    <x v="0"/>
    <x v="0"/>
    <s v="Cameras Item 82"/>
    <n v="763.43"/>
    <n v="6"/>
    <n v="120.9"/>
    <x v="1"/>
    <n v="0.15836422461784316"/>
    <x v="2"/>
    <x v="2"/>
  </r>
  <r>
    <s v="O-10782"/>
    <d v="2024-06-03T00:00:00"/>
    <x v="3"/>
    <x v="4"/>
    <x v="12"/>
    <s v="Decor Item 123"/>
    <n v="104.82"/>
    <n v="3"/>
    <n v="11.01"/>
    <x v="2"/>
    <n v="0.10503720663995421"/>
    <x v="2"/>
    <x v="2"/>
  </r>
  <r>
    <s v="O-10783"/>
    <d v="2024-06-04T00:00:00"/>
    <x v="1"/>
    <x v="2"/>
    <x v="6"/>
    <s v="Kids Item 64"/>
    <n v="1224.6500000000001"/>
    <n v="7"/>
    <n v="174.38"/>
    <x v="1"/>
    <n v="0.14239170375209242"/>
    <x v="2"/>
    <x v="2"/>
  </r>
  <r>
    <s v="O-10784"/>
    <d v="2024-06-05T00:00:00"/>
    <x v="3"/>
    <x v="4"/>
    <x v="10"/>
    <s v="Furniture Item 60"/>
    <n v="1451.02"/>
    <n v="2"/>
    <n v="312.58"/>
    <x v="1"/>
    <n v="0.21542087634905099"/>
    <x v="2"/>
    <x v="2"/>
  </r>
  <r>
    <s v="O-10785"/>
    <d v="2024-06-06T00:00:00"/>
    <x v="3"/>
    <x v="4"/>
    <x v="10"/>
    <s v="Furniture Item 137"/>
    <n v="30.52"/>
    <n v="2"/>
    <n v="7.42"/>
    <x v="2"/>
    <n v="0.24311926605504589"/>
    <x v="2"/>
    <x v="2"/>
  </r>
  <r>
    <s v="O-10786"/>
    <d v="2024-06-07T00:00:00"/>
    <x v="3"/>
    <x v="3"/>
    <x v="4"/>
    <s v="Fitness Item 48"/>
    <n v="151.6"/>
    <n v="8"/>
    <n v="23.73"/>
    <x v="2"/>
    <n v="0.15653034300791557"/>
    <x v="2"/>
    <x v="2"/>
  </r>
  <r>
    <s v="O-10787"/>
    <d v="2024-06-08T00:00:00"/>
    <x v="0"/>
    <x v="2"/>
    <x v="6"/>
    <s v="Kids Item 101"/>
    <n v="1051.72"/>
    <n v="7"/>
    <n v="230.71"/>
    <x v="2"/>
    <n v="0.21936446963070019"/>
    <x v="2"/>
    <x v="2"/>
  </r>
  <r>
    <s v="O-10788"/>
    <d v="2024-06-09T00:00:00"/>
    <x v="3"/>
    <x v="3"/>
    <x v="4"/>
    <s v="Fitness Item 99"/>
    <n v="1348.89"/>
    <n v="7"/>
    <n v="290.85000000000002"/>
    <x v="2"/>
    <n v="0.21562173342526078"/>
    <x v="2"/>
    <x v="2"/>
  </r>
  <r>
    <s v="O-10789"/>
    <d v="2024-06-10T00:00:00"/>
    <x v="1"/>
    <x v="1"/>
    <x v="1"/>
    <s v="Makeup Item 134"/>
    <n v="1504.96"/>
    <n v="1"/>
    <n v="172.4"/>
    <x v="0"/>
    <n v="0.11455453965553902"/>
    <x v="2"/>
    <x v="2"/>
  </r>
  <r>
    <s v="O-10790"/>
    <d v="2024-06-11T00:00:00"/>
    <x v="3"/>
    <x v="4"/>
    <x v="12"/>
    <s v="Decor Item 90"/>
    <n v="1780.47"/>
    <n v="5"/>
    <n v="330.12"/>
    <x v="0"/>
    <n v="0.18541171713086993"/>
    <x v="2"/>
    <x v="2"/>
  </r>
  <r>
    <s v="O-10791"/>
    <d v="2024-06-12T00:00:00"/>
    <x v="1"/>
    <x v="2"/>
    <x v="2"/>
    <s v="Women Item 170"/>
    <n v="627.66999999999996"/>
    <n v="6"/>
    <n v="91.99"/>
    <x v="1"/>
    <n v="0.1465579046314146"/>
    <x v="2"/>
    <x v="2"/>
  </r>
  <r>
    <s v="O-10792"/>
    <d v="2024-06-13T00:00:00"/>
    <x v="0"/>
    <x v="3"/>
    <x v="4"/>
    <s v="Fitness Item 59"/>
    <n v="387.04"/>
    <n v="2"/>
    <n v="60.46"/>
    <x v="0"/>
    <n v="0.15621124431583297"/>
    <x v="2"/>
    <x v="2"/>
  </r>
  <r>
    <s v="O-10793"/>
    <d v="2024-06-14T00:00:00"/>
    <x v="1"/>
    <x v="2"/>
    <x v="3"/>
    <s v="Men Item 138"/>
    <n v="1023.98"/>
    <n v="1"/>
    <n v="200.87"/>
    <x v="1"/>
    <n v="0.19616594074103011"/>
    <x v="2"/>
    <x v="2"/>
  </r>
  <r>
    <s v="O-10794"/>
    <d v="2024-06-15T00:00:00"/>
    <x v="0"/>
    <x v="4"/>
    <x v="12"/>
    <s v="Decor Item 140"/>
    <n v="898.84"/>
    <n v="7"/>
    <n v="193.14"/>
    <x v="2"/>
    <n v="0.2148769525165769"/>
    <x v="2"/>
    <x v="2"/>
  </r>
  <r>
    <s v="O-10795"/>
    <d v="2024-06-16T00:00:00"/>
    <x v="1"/>
    <x v="1"/>
    <x v="1"/>
    <s v="Makeup Item 128"/>
    <n v="1107.7"/>
    <n v="9"/>
    <n v="128.51"/>
    <x v="2"/>
    <n v="0.11601516656134331"/>
    <x v="2"/>
    <x v="2"/>
  </r>
  <r>
    <s v="O-10796"/>
    <d v="2024-06-17T00:00:00"/>
    <x v="2"/>
    <x v="4"/>
    <x v="15"/>
    <s v="Appliances Item 195"/>
    <n v="1280.02"/>
    <n v="1"/>
    <n v="233.2"/>
    <x v="1"/>
    <n v="0.18218465336479117"/>
    <x v="2"/>
    <x v="2"/>
  </r>
  <r>
    <s v="O-10797"/>
    <d v="2024-06-18T00:00:00"/>
    <x v="2"/>
    <x v="3"/>
    <x v="14"/>
    <s v="Equipment Item 149"/>
    <n v="1395.39"/>
    <n v="4"/>
    <n v="357.14"/>
    <x v="1"/>
    <n v="0.25594278302123419"/>
    <x v="2"/>
    <x v="2"/>
  </r>
  <r>
    <s v="O-10798"/>
    <d v="2024-06-19T00:00:00"/>
    <x v="0"/>
    <x v="3"/>
    <x v="5"/>
    <s v="Outdoor Item 181"/>
    <n v="1633.58"/>
    <n v="4"/>
    <n v="270.16000000000003"/>
    <x v="2"/>
    <n v="0.16537910601256139"/>
    <x v="2"/>
    <x v="2"/>
  </r>
  <r>
    <s v="O-10799"/>
    <d v="2024-06-20T00:00:00"/>
    <x v="0"/>
    <x v="1"/>
    <x v="1"/>
    <s v="Makeup Item 101"/>
    <n v="1500.72"/>
    <n v="1"/>
    <n v="237.24"/>
    <x v="0"/>
    <n v="0.15808411962258118"/>
    <x v="2"/>
    <x v="2"/>
  </r>
  <r>
    <s v="O-10800"/>
    <d v="2024-06-21T00:00:00"/>
    <x v="3"/>
    <x v="3"/>
    <x v="14"/>
    <s v="Equipment Item 63"/>
    <n v="542.73"/>
    <n v="5"/>
    <n v="147.69"/>
    <x v="0"/>
    <n v="0.2721242606821071"/>
    <x v="2"/>
    <x v="2"/>
  </r>
  <r>
    <s v="O-10801"/>
    <d v="2024-06-22T00:00:00"/>
    <x v="3"/>
    <x v="1"/>
    <x v="1"/>
    <s v="Makeup Item 5"/>
    <n v="1267.48"/>
    <n v="2"/>
    <n v="311.73"/>
    <x v="0"/>
    <n v="0.24594470918673275"/>
    <x v="2"/>
    <x v="2"/>
  </r>
  <r>
    <s v="O-10802"/>
    <d v="2024-06-23T00:00:00"/>
    <x v="1"/>
    <x v="4"/>
    <x v="10"/>
    <s v="Furniture Item 56"/>
    <n v="418.11"/>
    <n v="8"/>
    <n v="54.91"/>
    <x v="1"/>
    <n v="0.1313290760804573"/>
    <x v="2"/>
    <x v="2"/>
  </r>
  <r>
    <s v="O-10803"/>
    <d v="2024-06-24T00:00:00"/>
    <x v="3"/>
    <x v="4"/>
    <x v="12"/>
    <s v="Decor Item 104"/>
    <n v="1340.21"/>
    <n v="2"/>
    <n v="350.09"/>
    <x v="0"/>
    <n v="0.26122025652696218"/>
    <x v="2"/>
    <x v="2"/>
  </r>
  <r>
    <s v="O-10804"/>
    <d v="2024-06-25T00:00:00"/>
    <x v="0"/>
    <x v="1"/>
    <x v="8"/>
    <s v="Skincare Item 182"/>
    <n v="1419.54"/>
    <n v="6"/>
    <n v="104.66"/>
    <x v="1"/>
    <n v="7.3728109105766659E-2"/>
    <x v="2"/>
    <x v="2"/>
  </r>
  <r>
    <s v="O-10805"/>
    <d v="2024-06-26T00:00:00"/>
    <x v="2"/>
    <x v="1"/>
    <x v="13"/>
    <s v="Haircare Item 140"/>
    <n v="666.75"/>
    <n v="3"/>
    <n v="199.63"/>
    <x v="2"/>
    <n v="0.29940757405324336"/>
    <x v="2"/>
    <x v="2"/>
  </r>
  <r>
    <s v="O-10806"/>
    <d v="2024-06-27T00:00:00"/>
    <x v="1"/>
    <x v="2"/>
    <x v="2"/>
    <s v="Women Item 95"/>
    <n v="99.89"/>
    <n v="1"/>
    <n v="29"/>
    <x v="2"/>
    <n v="0.29031935128641506"/>
    <x v="2"/>
    <x v="2"/>
  </r>
  <r>
    <s v="O-10807"/>
    <d v="2024-06-28T00:00:00"/>
    <x v="2"/>
    <x v="4"/>
    <x v="12"/>
    <s v="Decor Item 187"/>
    <n v="1701.37"/>
    <n v="6"/>
    <n v="325.89"/>
    <x v="2"/>
    <n v="0.19154563675155903"/>
    <x v="2"/>
    <x v="2"/>
  </r>
  <r>
    <s v="O-10808"/>
    <d v="2024-06-29T00:00:00"/>
    <x v="3"/>
    <x v="1"/>
    <x v="1"/>
    <s v="Makeup Item 48"/>
    <n v="638.15"/>
    <n v="6"/>
    <n v="34.200000000000003"/>
    <x v="1"/>
    <n v="5.3592415576275178E-2"/>
    <x v="2"/>
    <x v="2"/>
  </r>
  <r>
    <s v="O-10809"/>
    <d v="2024-06-30T00:00:00"/>
    <x v="1"/>
    <x v="0"/>
    <x v="9"/>
    <s v="Phones Item 152"/>
    <n v="1255.01"/>
    <n v="4"/>
    <n v="74.97"/>
    <x v="1"/>
    <n v="5.9736575804176857E-2"/>
    <x v="2"/>
    <x v="2"/>
  </r>
  <r>
    <s v="O-10810"/>
    <d v="2024-07-01T00:00:00"/>
    <x v="1"/>
    <x v="4"/>
    <x v="12"/>
    <s v="Decor Item 186"/>
    <n v="1135.52"/>
    <n v="5"/>
    <n v="302.17"/>
    <x v="2"/>
    <n v="0.26610715795406514"/>
    <x v="3"/>
    <x v="2"/>
  </r>
  <r>
    <s v="O-10811"/>
    <d v="2024-07-02T00:00:00"/>
    <x v="0"/>
    <x v="4"/>
    <x v="10"/>
    <s v="Furniture Item 83"/>
    <n v="1170.28"/>
    <n v="3"/>
    <n v="187.92"/>
    <x v="1"/>
    <n v="0.16057695594216767"/>
    <x v="3"/>
    <x v="2"/>
  </r>
  <r>
    <s v="O-10812"/>
    <d v="2024-07-03T00:00:00"/>
    <x v="0"/>
    <x v="2"/>
    <x v="6"/>
    <s v="Kids Item 61"/>
    <n v="790.68"/>
    <n v="4"/>
    <n v="152.1"/>
    <x v="0"/>
    <n v="0.19236606465320991"/>
    <x v="3"/>
    <x v="2"/>
  </r>
  <r>
    <s v="O-10813"/>
    <d v="2024-07-04T00:00:00"/>
    <x v="0"/>
    <x v="3"/>
    <x v="14"/>
    <s v="Equipment Item 110"/>
    <n v="755.54"/>
    <n v="5"/>
    <n v="157.35"/>
    <x v="1"/>
    <n v="0.20826164068083755"/>
    <x v="3"/>
    <x v="2"/>
  </r>
  <r>
    <s v="O-10814"/>
    <d v="2024-07-05T00:00:00"/>
    <x v="0"/>
    <x v="3"/>
    <x v="14"/>
    <s v="Equipment Item 149"/>
    <n v="1962.61"/>
    <n v="4"/>
    <n v="520.6"/>
    <x v="1"/>
    <n v="0.26525901732896501"/>
    <x v="3"/>
    <x v="2"/>
  </r>
  <r>
    <s v="O-10815"/>
    <d v="2024-07-06T00:00:00"/>
    <x v="1"/>
    <x v="2"/>
    <x v="2"/>
    <s v="Women Item 166"/>
    <n v="1194.45"/>
    <n v="2"/>
    <n v="167.95"/>
    <x v="1"/>
    <n v="0.1406086483318682"/>
    <x v="3"/>
    <x v="2"/>
  </r>
  <r>
    <s v="O-10816"/>
    <d v="2024-07-07T00:00:00"/>
    <x v="2"/>
    <x v="0"/>
    <x v="9"/>
    <s v="Phones Item 120"/>
    <n v="1884.55"/>
    <n v="5"/>
    <n v="391.82"/>
    <x v="1"/>
    <n v="0.20791170305908571"/>
    <x v="3"/>
    <x v="2"/>
  </r>
  <r>
    <s v="O-10817"/>
    <d v="2024-07-08T00:00:00"/>
    <x v="2"/>
    <x v="0"/>
    <x v="7"/>
    <s v="Accessories Item 169"/>
    <n v="1295.6300000000001"/>
    <n v="9"/>
    <n v="274.88"/>
    <x v="0"/>
    <n v="0.21215933561279066"/>
    <x v="3"/>
    <x v="2"/>
  </r>
  <r>
    <s v="O-10818"/>
    <d v="2024-07-09T00:00:00"/>
    <x v="0"/>
    <x v="0"/>
    <x v="9"/>
    <s v="Phones Item 150"/>
    <n v="329.29"/>
    <n v="7"/>
    <n v="65.8"/>
    <x v="0"/>
    <n v="0.19982386346381606"/>
    <x v="3"/>
    <x v="2"/>
  </r>
  <r>
    <s v="O-10819"/>
    <d v="2024-07-10T00:00:00"/>
    <x v="2"/>
    <x v="3"/>
    <x v="5"/>
    <s v="Outdoor Item 104"/>
    <n v="1416.18"/>
    <n v="6"/>
    <n v="276.06"/>
    <x v="0"/>
    <n v="0.19493284751938311"/>
    <x v="3"/>
    <x v="2"/>
  </r>
  <r>
    <s v="O-10820"/>
    <d v="2024-07-11T00:00:00"/>
    <x v="0"/>
    <x v="3"/>
    <x v="4"/>
    <s v="Fitness Item 93"/>
    <n v="1898.51"/>
    <n v="2"/>
    <n v="104.01"/>
    <x v="2"/>
    <n v="5.4785068290396158E-2"/>
    <x v="3"/>
    <x v="2"/>
  </r>
  <r>
    <s v="O-10821"/>
    <d v="2024-07-12T00:00:00"/>
    <x v="2"/>
    <x v="0"/>
    <x v="11"/>
    <s v="Laptops Item 161"/>
    <n v="1227.2"/>
    <n v="8"/>
    <n v="307.66000000000003"/>
    <x v="0"/>
    <n v="0.25070078226857889"/>
    <x v="3"/>
    <x v="2"/>
  </r>
  <r>
    <s v="O-10822"/>
    <d v="2024-07-13T00:00:00"/>
    <x v="0"/>
    <x v="4"/>
    <x v="12"/>
    <s v="Decor Item 166"/>
    <n v="1081.1500000000001"/>
    <n v="8"/>
    <n v="311.79000000000002"/>
    <x v="1"/>
    <n v="0.28838736530546177"/>
    <x v="3"/>
    <x v="2"/>
  </r>
  <r>
    <s v="O-10823"/>
    <d v="2024-07-14T00:00:00"/>
    <x v="1"/>
    <x v="1"/>
    <x v="8"/>
    <s v="Skincare Item 66"/>
    <n v="1153.76"/>
    <n v="6"/>
    <n v="243.03"/>
    <x v="0"/>
    <n v="0.21064172791568436"/>
    <x v="3"/>
    <x v="2"/>
  </r>
  <r>
    <s v="O-10824"/>
    <d v="2024-07-15T00:00:00"/>
    <x v="3"/>
    <x v="0"/>
    <x v="9"/>
    <s v="Phones Item 26"/>
    <n v="1486.32"/>
    <n v="8"/>
    <n v="295.07"/>
    <x v="0"/>
    <n v="0.19852387103719255"/>
    <x v="3"/>
    <x v="2"/>
  </r>
  <r>
    <s v="O-10825"/>
    <d v="2024-07-16T00:00:00"/>
    <x v="1"/>
    <x v="4"/>
    <x v="15"/>
    <s v="Appliances Item 8"/>
    <n v="151.72"/>
    <n v="1"/>
    <n v="30.6"/>
    <x v="1"/>
    <n v="0.20168731874505669"/>
    <x v="3"/>
    <x v="2"/>
  </r>
  <r>
    <s v="O-10826"/>
    <d v="2024-07-17T00:00:00"/>
    <x v="0"/>
    <x v="2"/>
    <x v="2"/>
    <s v="Women Item 183"/>
    <n v="1768.17"/>
    <n v="7"/>
    <n v="310.13"/>
    <x v="2"/>
    <n v="0.17539603092462827"/>
    <x v="3"/>
    <x v="2"/>
  </r>
  <r>
    <s v="O-10827"/>
    <d v="2024-07-18T00:00:00"/>
    <x v="0"/>
    <x v="2"/>
    <x v="2"/>
    <s v="Women Item 184"/>
    <n v="409.37"/>
    <n v="5"/>
    <n v="102.35"/>
    <x v="2"/>
    <n v="0.25001832083445291"/>
    <x v="3"/>
    <x v="2"/>
  </r>
  <r>
    <s v="O-10828"/>
    <d v="2024-07-19T00:00:00"/>
    <x v="2"/>
    <x v="4"/>
    <x v="12"/>
    <s v="Decor Item 73"/>
    <n v="1994.53"/>
    <n v="4"/>
    <n v="207.54"/>
    <x v="2"/>
    <n v="0.10405458930174026"/>
    <x v="3"/>
    <x v="2"/>
  </r>
  <r>
    <s v="O-10829"/>
    <d v="2024-07-20T00:00:00"/>
    <x v="0"/>
    <x v="0"/>
    <x v="11"/>
    <s v="Laptops Item 119"/>
    <n v="1245.5999999999999"/>
    <n v="5"/>
    <n v="81.709999999999994"/>
    <x v="0"/>
    <n v="6.5598908156711627E-2"/>
    <x v="3"/>
    <x v="2"/>
  </r>
  <r>
    <s v="O-10830"/>
    <d v="2024-07-21T00:00:00"/>
    <x v="0"/>
    <x v="3"/>
    <x v="5"/>
    <s v="Outdoor Item 124"/>
    <n v="152.69"/>
    <n v="7"/>
    <n v="22.75"/>
    <x v="2"/>
    <n v="0.14899469513393149"/>
    <x v="3"/>
    <x v="2"/>
  </r>
  <r>
    <s v="O-10831"/>
    <d v="2024-07-22T00:00:00"/>
    <x v="1"/>
    <x v="0"/>
    <x v="7"/>
    <s v="Accessories Item 42"/>
    <n v="1877.17"/>
    <n v="3"/>
    <n v="352.85"/>
    <x v="2"/>
    <n v="0.18796912373413172"/>
    <x v="3"/>
    <x v="2"/>
  </r>
  <r>
    <s v="O-10832"/>
    <d v="2024-07-23T00:00:00"/>
    <x v="1"/>
    <x v="2"/>
    <x v="2"/>
    <s v="Women Item 178"/>
    <n v="844.11"/>
    <n v="2"/>
    <n v="142.43"/>
    <x v="2"/>
    <n v="0.16873393278127258"/>
    <x v="3"/>
    <x v="2"/>
  </r>
  <r>
    <s v="O-10833"/>
    <d v="2024-07-24T00:00:00"/>
    <x v="2"/>
    <x v="3"/>
    <x v="4"/>
    <s v="Fitness Item 102"/>
    <n v="1885.92"/>
    <n v="4"/>
    <n v="301.02"/>
    <x v="2"/>
    <n v="0.15961440570119623"/>
    <x v="3"/>
    <x v="2"/>
  </r>
  <r>
    <s v="O-10834"/>
    <d v="2024-07-25T00:00:00"/>
    <x v="1"/>
    <x v="3"/>
    <x v="14"/>
    <s v="Equipment Item 131"/>
    <n v="1970.9"/>
    <n v="9"/>
    <n v="575.39"/>
    <x v="1"/>
    <n v="0.29194276726368662"/>
    <x v="3"/>
    <x v="2"/>
  </r>
  <r>
    <s v="O-10835"/>
    <d v="2024-07-26T00:00:00"/>
    <x v="1"/>
    <x v="3"/>
    <x v="5"/>
    <s v="Outdoor Item 56"/>
    <n v="328.03"/>
    <n v="8"/>
    <n v="34.42"/>
    <x v="1"/>
    <n v="0.10492942718653783"/>
    <x v="3"/>
    <x v="2"/>
  </r>
  <r>
    <s v="O-10836"/>
    <d v="2024-07-27T00:00:00"/>
    <x v="1"/>
    <x v="1"/>
    <x v="8"/>
    <s v="Skincare Item 60"/>
    <n v="1656.7"/>
    <n v="1"/>
    <n v="229.33"/>
    <x v="1"/>
    <n v="0.13842578620148488"/>
    <x v="3"/>
    <x v="2"/>
  </r>
  <r>
    <s v="O-10837"/>
    <d v="2024-07-28T00:00:00"/>
    <x v="0"/>
    <x v="0"/>
    <x v="7"/>
    <s v="Accessories Item 36"/>
    <n v="436.8"/>
    <n v="6"/>
    <n v="119.93"/>
    <x v="0"/>
    <n v="0.27456501831501834"/>
    <x v="3"/>
    <x v="2"/>
  </r>
  <r>
    <s v="O-10838"/>
    <d v="2024-07-29T00:00:00"/>
    <x v="0"/>
    <x v="4"/>
    <x v="10"/>
    <s v="Furniture Item 192"/>
    <n v="171.43"/>
    <n v="8"/>
    <n v="15.21"/>
    <x v="2"/>
    <n v="8.8724260631161414E-2"/>
    <x v="3"/>
    <x v="2"/>
  </r>
  <r>
    <s v="O-10839"/>
    <d v="2024-07-30T00:00:00"/>
    <x v="0"/>
    <x v="4"/>
    <x v="10"/>
    <s v="Furniture Item 22"/>
    <n v="979.39"/>
    <n v="7"/>
    <n v="222"/>
    <x v="1"/>
    <n v="0.22667170381564036"/>
    <x v="3"/>
    <x v="2"/>
  </r>
  <r>
    <s v="O-10840"/>
    <d v="2024-07-31T00:00:00"/>
    <x v="1"/>
    <x v="1"/>
    <x v="13"/>
    <s v="Haircare Item 96"/>
    <n v="328.84"/>
    <n v="6"/>
    <n v="80.61"/>
    <x v="0"/>
    <n v="0.24513441187203505"/>
    <x v="3"/>
    <x v="2"/>
  </r>
  <r>
    <s v="O-10841"/>
    <d v="2024-08-01T00:00:00"/>
    <x v="3"/>
    <x v="1"/>
    <x v="1"/>
    <s v="Makeup Item 152"/>
    <n v="1255.52"/>
    <n v="7"/>
    <n v="88.6"/>
    <x v="0"/>
    <n v="7.0568370077736711E-2"/>
    <x v="4"/>
    <x v="2"/>
  </r>
  <r>
    <s v="O-10842"/>
    <d v="2024-08-02T00:00:00"/>
    <x v="3"/>
    <x v="3"/>
    <x v="4"/>
    <s v="Fitness Item 57"/>
    <n v="1436.07"/>
    <n v="5"/>
    <n v="222.09"/>
    <x v="2"/>
    <n v="0.15465123566399969"/>
    <x v="4"/>
    <x v="2"/>
  </r>
  <r>
    <s v="O-10843"/>
    <d v="2024-08-03T00:00:00"/>
    <x v="1"/>
    <x v="1"/>
    <x v="13"/>
    <s v="Haircare Item 176"/>
    <n v="1103.53"/>
    <n v="8"/>
    <n v="238.42"/>
    <x v="0"/>
    <n v="0.21605212363959295"/>
    <x v="4"/>
    <x v="2"/>
  </r>
  <r>
    <s v="O-10844"/>
    <d v="2024-08-04T00:00:00"/>
    <x v="0"/>
    <x v="4"/>
    <x v="10"/>
    <s v="Furniture Item 15"/>
    <n v="109.02"/>
    <n v="7"/>
    <n v="28.35"/>
    <x v="0"/>
    <n v="0.2600440286186021"/>
    <x v="4"/>
    <x v="2"/>
  </r>
  <r>
    <s v="O-10845"/>
    <d v="2024-08-05T00:00:00"/>
    <x v="1"/>
    <x v="2"/>
    <x v="6"/>
    <s v="Kids Item 137"/>
    <n v="1882.03"/>
    <n v="5"/>
    <n v="324.36"/>
    <x v="0"/>
    <n v="0.17234581807941426"/>
    <x v="4"/>
    <x v="2"/>
  </r>
  <r>
    <s v="O-10846"/>
    <d v="2024-08-06T00:00:00"/>
    <x v="3"/>
    <x v="0"/>
    <x v="0"/>
    <s v="Cameras Item 191"/>
    <n v="1127.97"/>
    <n v="6"/>
    <n v="292.77"/>
    <x v="2"/>
    <n v="0.25955477539296257"/>
    <x v="4"/>
    <x v="2"/>
  </r>
  <r>
    <s v="O-10847"/>
    <d v="2024-08-07T00:00:00"/>
    <x v="1"/>
    <x v="3"/>
    <x v="14"/>
    <s v="Equipment Item 48"/>
    <n v="825.47"/>
    <n v="7"/>
    <n v="185.43"/>
    <x v="0"/>
    <n v="0.22463566210764777"/>
    <x v="4"/>
    <x v="2"/>
  </r>
  <r>
    <s v="O-10848"/>
    <d v="2024-08-08T00:00:00"/>
    <x v="0"/>
    <x v="1"/>
    <x v="1"/>
    <s v="Makeup Item 89"/>
    <n v="1037.42"/>
    <n v="8"/>
    <n v="102.81"/>
    <x v="1"/>
    <n v="9.9101617474118484E-2"/>
    <x v="4"/>
    <x v="2"/>
  </r>
  <r>
    <s v="O-10849"/>
    <d v="2024-08-09T00:00:00"/>
    <x v="2"/>
    <x v="2"/>
    <x v="3"/>
    <s v="Men Item 134"/>
    <n v="1144.0999999999999"/>
    <n v="9"/>
    <n v="203.91"/>
    <x v="2"/>
    <n v="0.17822742767240626"/>
    <x v="4"/>
    <x v="2"/>
  </r>
  <r>
    <s v="O-10850"/>
    <d v="2024-08-10T00:00:00"/>
    <x v="1"/>
    <x v="2"/>
    <x v="3"/>
    <s v="Men Item 95"/>
    <n v="817.5"/>
    <n v="7"/>
    <n v="231.42"/>
    <x v="1"/>
    <n v="0.28308256880733945"/>
    <x v="4"/>
    <x v="2"/>
  </r>
  <r>
    <s v="O-10851"/>
    <d v="2024-08-11T00:00:00"/>
    <x v="0"/>
    <x v="1"/>
    <x v="1"/>
    <s v="Makeup Item 187"/>
    <n v="299.62"/>
    <n v="6"/>
    <n v="79"/>
    <x v="1"/>
    <n v="0.26366731192844267"/>
    <x v="4"/>
    <x v="2"/>
  </r>
  <r>
    <s v="O-10852"/>
    <d v="2024-08-12T00:00:00"/>
    <x v="1"/>
    <x v="0"/>
    <x v="7"/>
    <s v="Accessories Item 195"/>
    <n v="453.05"/>
    <n v="6"/>
    <n v="116.17"/>
    <x v="0"/>
    <n v="0.25641761394989515"/>
    <x v="4"/>
    <x v="2"/>
  </r>
  <r>
    <s v="O-10853"/>
    <d v="2024-08-13T00:00:00"/>
    <x v="1"/>
    <x v="3"/>
    <x v="14"/>
    <s v="Equipment Item 96"/>
    <n v="1855.71"/>
    <n v="8"/>
    <n v="352.01"/>
    <x v="0"/>
    <n v="0.18969019943848983"/>
    <x v="4"/>
    <x v="2"/>
  </r>
  <r>
    <s v="O-10854"/>
    <d v="2024-08-14T00:00:00"/>
    <x v="0"/>
    <x v="3"/>
    <x v="5"/>
    <s v="Outdoor Item 6"/>
    <n v="761.61"/>
    <n v="3"/>
    <n v="216.85"/>
    <x v="1"/>
    <n v="0.28472577828547418"/>
    <x v="4"/>
    <x v="2"/>
  </r>
  <r>
    <s v="O-10855"/>
    <d v="2024-08-15T00:00:00"/>
    <x v="3"/>
    <x v="4"/>
    <x v="15"/>
    <s v="Appliances Item 76"/>
    <n v="1122.43"/>
    <n v="5"/>
    <n v="105.26"/>
    <x v="1"/>
    <n v="9.377867662125923E-2"/>
    <x v="4"/>
    <x v="2"/>
  </r>
  <r>
    <s v="O-10856"/>
    <d v="2024-08-16T00:00:00"/>
    <x v="0"/>
    <x v="3"/>
    <x v="5"/>
    <s v="Outdoor Item 127"/>
    <n v="456.6"/>
    <n v="5"/>
    <n v="122.61"/>
    <x v="2"/>
    <n v="0.26852825229960575"/>
    <x v="4"/>
    <x v="2"/>
  </r>
  <r>
    <s v="O-10857"/>
    <d v="2024-08-17T00:00:00"/>
    <x v="3"/>
    <x v="2"/>
    <x v="6"/>
    <s v="Kids Item 127"/>
    <n v="541.23"/>
    <n v="2"/>
    <n v="34.299999999999997"/>
    <x v="2"/>
    <n v="6.3374166250946912E-2"/>
    <x v="4"/>
    <x v="2"/>
  </r>
  <r>
    <s v="O-10858"/>
    <d v="2024-08-18T00:00:00"/>
    <x v="3"/>
    <x v="3"/>
    <x v="5"/>
    <s v="Outdoor Item 81"/>
    <n v="321.06"/>
    <n v="1"/>
    <n v="60.55"/>
    <x v="1"/>
    <n v="0.18859403226811186"/>
    <x v="4"/>
    <x v="2"/>
  </r>
  <r>
    <s v="O-10859"/>
    <d v="2024-08-19T00:00:00"/>
    <x v="1"/>
    <x v="2"/>
    <x v="3"/>
    <s v="Men Item 152"/>
    <n v="982.54"/>
    <n v="2"/>
    <n v="282.11"/>
    <x v="0"/>
    <n v="0.28712317055794168"/>
    <x v="4"/>
    <x v="2"/>
  </r>
  <r>
    <s v="O-10860"/>
    <d v="2024-08-20T00:00:00"/>
    <x v="2"/>
    <x v="0"/>
    <x v="9"/>
    <s v="Phones Item 174"/>
    <n v="1227.68"/>
    <n v="7"/>
    <n v="63.36"/>
    <x v="2"/>
    <n v="5.1609539945262607E-2"/>
    <x v="4"/>
    <x v="2"/>
  </r>
  <r>
    <s v="O-10861"/>
    <d v="2024-08-21T00:00:00"/>
    <x v="1"/>
    <x v="2"/>
    <x v="3"/>
    <s v="Men Item 189"/>
    <n v="325.89"/>
    <n v="2"/>
    <n v="78.25"/>
    <x v="0"/>
    <n v="0.24011169412992114"/>
    <x v="4"/>
    <x v="2"/>
  </r>
  <r>
    <s v="O-10862"/>
    <d v="2024-08-22T00:00:00"/>
    <x v="0"/>
    <x v="1"/>
    <x v="1"/>
    <s v="Makeup Item 145"/>
    <n v="1414.08"/>
    <n v="2"/>
    <n v="211.36"/>
    <x v="1"/>
    <n v="0.14946820547635215"/>
    <x v="4"/>
    <x v="2"/>
  </r>
  <r>
    <s v="O-10863"/>
    <d v="2024-08-23T00:00:00"/>
    <x v="3"/>
    <x v="2"/>
    <x v="3"/>
    <s v="Men Item 82"/>
    <n v="358"/>
    <n v="5"/>
    <n v="86.18"/>
    <x v="2"/>
    <n v="0.24072625698324024"/>
    <x v="4"/>
    <x v="2"/>
  </r>
  <r>
    <s v="O-10864"/>
    <d v="2024-08-24T00:00:00"/>
    <x v="1"/>
    <x v="4"/>
    <x v="12"/>
    <s v="Decor Item 55"/>
    <n v="1300.27"/>
    <n v="3"/>
    <n v="264.97000000000003"/>
    <x v="1"/>
    <n v="0.20378075322817571"/>
    <x v="4"/>
    <x v="2"/>
  </r>
  <r>
    <s v="O-10865"/>
    <d v="2024-08-25T00:00:00"/>
    <x v="3"/>
    <x v="1"/>
    <x v="13"/>
    <s v="Haircare Item 180"/>
    <n v="1029.51"/>
    <n v="5"/>
    <n v="64.41"/>
    <x v="1"/>
    <n v="6.2563743917009057E-2"/>
    <x v="4"/>
    <x v="2"/>
  </r>
  <r>
    <s v="O-10866"/>
    <d v="2024-08-26T00:00:00"/>
    <x v="2"/>
    <x v="4"/>
    <x v="12"/>
    <s v="Decor Item 158"/>
    <n v="1111.3"/>
    <n v="4"/>
    <n v="313.49"/>
    <x v="0"/>
    <n v="0.28209304418248898"/>
    <x v="4"/>
    <x v="2"/>
  </r>
  <r>
    <s v="O-10867"/>
    <d v="2024-08-27T00:00:00"/>
    <x v="2"/>
    <x v="0"/>
    <x v="7"/>
    <s v="Accessories Item 1"/>
    <n v="1596.09"/>
    <n v="2"/>
    <n v="165.79"/>
    <x v="0"/>
    <n v="0.10387258863848529"/>
    <x v="4"/>
    <x v="2"/>
  </r>
  <r>
    <s v="O-10868"/>
    <d v="2024-08-28T00:00:00"/>
    <x v="1"/>
    <x v="4"/>
    <x v="12"/>
    <s v="Decor Item 185"/>
    <n v="394.5"/>
    <n v="1"/>
    <n v="79.959999999999994"/>
    <x v="0"/>
    <n v="0.20268694550063371"/>
    <x v="4"/>
    <x v="2"/>
  </r>
  <r>
    <s v="O-10869"/>
    <d v="2024-08-29T00:00:00"/>
    <x v="0"/>
    <x v="4"/>
    <x v="15"/>
    <s v="Appliances Item 190"/>
    <n v="129.94"/>
    <n v="7"/>
    <n v="10.57"/>
    <x v="1"/>
    <n v="8.1345236262890572E-2"/>
    <x v="4"/>
    <x v="2"/>
  </r>
  <r>
    <s v="O-10870"/>
    <d v="2024-08-30T00:00:00"/>
    <x v="1"/>
    <x v="2"/>
    <x v="3"/>
    <s v="Men Item 160"/>
    <n v="1121.78"/>
    <n v="5"/>
    <n v="214.76"/>
    <x v="1"/>
    <n v="0.19144573802349837"/>
    <x v="4"/>
    <x v="2"/>
  </r>
  <r>
    <s v="O-10871"/>
    <d v="2024-08-31T00:00:00"/>
    <x v="0"/>
    <x v="2"/>
    <x v="2"/>
    <s v="Women Item 56"/>
    <n v="786.9"/>
    <n v="2"/>
    <n v="101.91"/>
    <x v="0"/>
    <n v="0.12950819672131147"/>
    <x v="4"/>
    <x v="2"/>
  </r>
  <r>
    <s v="O-10872"/>
    <d v="2024-09-01T00:00:00"/>
    <x v="3"/>
    <x v="2"/>
    <x v="6"/>
    <s v="Kids Item 192"/>
    <n v="873.6"/>
    <n v="8"/>
    <n v="212.99"/>
    <x v="2"/>
    <n v="0.24380723443223443"/>
    <x v="5"/>
    <x v="2"/>
  </r>
  <r>
    <s v="O-10873"/>
    <d v="2024-09-02T00:00:00"/>
    <x v="1"/>
    <x v="4"/>
    <x v="12"/>
    <s v="Decor Item 115"/>
    <n v="703.27"/>
    <n v="1"/>
    <n v="93.57"/>
    <x v="2"/>
    <n v="0.1330498954882193"/>
    <x v="5"/>
    <x v="2"/>
  </r>
  <r>
    <s v="O-10874"/>
    <d v="2024-09-03T00:00:00"/>
    <x v="3"/>
    <x v="1"/>
    <x v="1"/>
    <s v="Makeup Item 63"/>
    <n v="102.17"/>
    <n v="7"/>
    <n v="11.89"/>
    <x v="0"/>
    <n v="0.11637466966820006"/>
    <x v="5"/>
    <x v="2"/>
  </r>
  <r>
    <s v="O-10875"/>
    <d v="2024-09-04T00:00:00"/>
    <x v="0"/>
    <x v="0"/>
    <x v="11"/>
    <s v="Laptops Item 6"/>
    <n v="1363.43"/>
    <n v="6"/>
    <n v="168.95"/>
    <x v="0"/>
    <n v="0.1239154192001056"/>
    <x v="5"/>
    <x v="2"/>
  </r>
  <r>
    <s v="O-10876"/>
    <d v="2024-09-05T00:00:00"/>
    <x v="0"/>
    <x v="4"/>
    <x v="12"/>
    <s v="Decor Item 119"/>
    <n v="1207.26"/>
    <n v="4"/>
    <n v="283.42"/>
    <x v="2"/>
    <n v="0.23476301707999936"/>
    <x v="5"/>
    <x v="2"/>
  </r>
  <r>
    <s v="O-10877"/>
    <d v="2024-09-06T00:00:00"/>
    <x v="0"/>
    <x v="3"/>
    <x v="14"/>
    <s v="Equipment Item 177"/>
    <n v="577.6"/>
    <n v="4"/>
    <n v="126.8"/>
    <x v="1"/>
    <n v="0.21952908587257616"/>
    <x v="5"/>
    <x v="2"/>
  </r>
  <r>
    <s v="O-10878"/>
    <d v="2024-09-07T00:00:00"/>
    <x v="2"/>
    <x v="3"/>
    <x v="5"/>
    <s v="Outdoor Item 188"/>
    <n v="1980.42"/>
    <n v="3"/>
    <n v="169.45"/>
    <x v="1"/>
    <n v="8.5562658425990437E-2"/>
    <x v="5"/>
    <x v="2"/>
  </r>
  <r>
    <s v="O-10879"/>
    <d v="2024-09-08T00:00:00"/>
    <x v="3"/>
    <x v="0"/>
    <x v="9"/>
    <s v="Phones Item 28"/>
    <n v="536.88"/>
    <n v="2"/>
    <n v="159.94999999999999"/>
    <x v="2"/>
    <n v="0.29792504842795409"/>
    <x v="5"/>
    <x v="2"/>
  </r>
  <r>
    <s v="O-10880"/>
    <d v="2024-09-09T00:00:00"/>
    <x v="3"/>
    <x v="4"/>
    <x v="12"/>
    <s v="Decor Item 191"/>
    <n v="1969.99"/>
    <n v="8"/>
    <n v="281.95999999999998"/>
    <x v="1"/>
    <n v="0.14312763008949284"/>
    <x v="5"/>
    <x v="2"/>
  </r>
  <r>
    <s v="O-10881"/>
    <d v="2024-09-10T00:00:00"/>
    <x v="3"/>
    <x v="2"/>
    <x v="2"/>
    <s v="Women Item 155"/>
    <n v="202.87"/>
    <n v="8"/>
    <n v="40.33"/>
    <x v="2"/>
    <n v="0.1987972593286341"/>
    <x v="5"/>
    <x v="2"/>
  </r>
  <r>
    <s v="O-10882"/>
    <d v="2024-09-11T00:00:00"/>
    <x v="3"/>
    <x v="2"/>
    <x v="6"/>
    <s v="Kids Item 119"/>
    <n v="1936.79"/>
    <n v="9"/>
    <n v="539.02"/>
    <x v="2"/>
    <n v="0.27830585659777257"/>
    <x v="5"/>
    <x v="2"/>
  </r>
  <r>
    <s v="O-10883"/>
    <d v="2024-09-12T00:00:00"/>
    <x v="2"/>
    <x v="1"/>
    <x v="8"/>
    <s v="Skincare Item 152"/>
    <n v="952.5"/>
    <n v="9"/>
    <n v="226.5"/>
    <x v="2"/>
    <n v="0.23779527559055119"/>
    <x v="5"/>
    <x v="2"/>
  </r>
  <r>
    <s v="O-10884"/>
    <d v="2024-09-13T00:00:00"/>
    <x v="2"/>
    <x v="1"/>
    <x v="8"/>
    <s v="Skincare Item 10"/>
    <n v="370.84"/>
    <n v="8"/>
    <n v="94.32"/>
    <x v="1"/>
    <n v="0.25434149498435982"/>
    <x v="5"/>
    <x v="2"/>
  </r>
  <r>
    <s v="O-10885"/>
    <d v="2024-09-14T00:00:00"/>
    <x v="1"/>
    <x v="1"/>
    <x v="8"/>
    <s v="Skincare Item 113"/>
    <n v="33.619999999999997"/>
    <n v="9"/>
    <n v="7.26"/>
    <x v="1"/>
    <n v="0.21594289113622844"/>
    <x v="5"/>
    <x v="2"/>
  </r>
  <r>
    <s v="O-10886"/>
    <d v="2024-09-15T00:00:00"/>
    <x v="3"/>
    <x v="3"/>
    <x v="14"/>
    <s v="Equipment Item 175"/>
    <n v="816.76"/>
    <n v="2"/>
    <n v="223.7"/>
    <x v="2"/>
    <n v="0.27388706596797102"/>
    <x v="5"/>
    <x v="2"/>
  </r>
  <r>
    <s v="O-10887"/>
    <d v="2024-09-16T00:00:00"/>
    <x v="2"/>
    <x v="1"/>
    <x v="13"/>
    <s v="Haircare Item 132"/>
    <n v="641.48"/>
    <n v="7"/>
    <n v="49.24"/>
    <x v="1"/>
    <n v="7.6759992517303741E-2"/>
    <x v="5"/>
    <x v="2"/>
  </r>
  <r>
    <s v="O-10888"/>
    <d v="2024-09-17T00:00:00"/>
    <x v="3"/>
    <x v="1"/>
    <x v="1"/>
    <s v="Makeup Item 89"/>
    <n v="1464.83"/>
    <n v="3"/>
    <n v="198.52"/>
    <x v="2"/>
    <n v="0.13552425878770916"/>
    <x v="5"/>
    <x v="2"/>
  </r>
  <r>
    <s v="O-10889"/>
    <d v="2024-09-18T00:00:00"/>
    <x v="1"/>
    <x v="1"/>
    <x v="13"/>
    <s v="Haircare Item 116"/>
    <n v="257.38"/>
    <n v="1"/>
    <n v="20.39"/>
    <x v="1"/>
    <n v="7.9221384722977697E-2"/>
    <x v="5"/>
    <x v="2"/>
  </r>
  <r>
    <s v="O-10890"/>
    <d v="2024-09-19T00:00:00"/>
    <x v="0"/>
    <x v="0"/>
    <x v="7"/>
    <s v="Accessories Item 110"/>
    <n v="1200.24"/>
    <n v="9"/>
    <n v="109.34"/>
    <x v="1"/>
    <n v="9.1098446977271208E-2"/>
    <x v="5"/>
    <x v="2"/>
  </r>
  <r>
    <s v="O-10891"/>
    <d v="2024-09-20T00:00:00"/>
    <x v="0"/>
    <x v="3"/>
    <x v="5"/>
    <s v="Outdoor Item 113"/>
    <n v="109.59"/>
    <n v="7"/>
    <n v="23.53"/>
    <x v="1"/>
    <n v="0.21470937129300119"/>
    <x v="5"/>
    <x v="2"/>
  </r>
  <r>
    <s v="O-10892"/>
    <d v="2024-09-21T00:00:00"/>
    <x v="2"/>
    <x v="1"/>
    <x v="1"/>
    <s v="Makeup Item 149"/>
    <n v="1645.54"/>
    <n v="6"/>
    <n v="297.49"/>
    <x v="2"/>
    <n v="0.18078563875688225"/>
    <x v="5"/>
    <x v="2"/>
  </r>
  <r>
    <s v="O-10893"/>
    <d v="2024-09-22T00:00:00"/>
    <x v="2"/>
    <x v="4"/>
    <x v="15"/>
    <s v="Appliances Item 195"/>
    <n v="833.5"/>
    <n v="9"/>
    <n v="238.1"/>
    <x v="1"/>
    <n v="0.2856628674265147"/>
    <x v="5"/>
    <x v="2"/>
  </r>
  <r>
    <s v="O-10894"/>
    <d v="2024-09-23T00:00:00"/>
    <x v="0"/>
    <x v="3"/>
    <x v="4"/>
    <s v="Fitness Item 61"/>
    <n v="1564.38"/>
    <n v="5"/>
    <n v="259.68"/>
    <x v="2"/>
    <n v="0.16599547424538794"/>
    <x v="5"/>
    <x v="2"/>
  </r>
  <r>
    <s v="O-10895"/>
    <d v="2024-09-24T00:00:00"/>
    <x v="0"/>
    <x v="0"/>
    <x v="0"/>
    <s v="Cameras Item 187"/>
    <n v="1961.53"/>
    <n v="5"/>
    <n v="131.05000000000001"/>
    <x v="2"/>
    <n v="6.6810092121966022E-2"/>
    <x v="5"/>
    <x v="2"/>
  </r>
  <r>
    <s v="O-10896"/>
    <d v="2024-09-25T00:00:00"/>
    <x v="0"/>
    <x v="1"/>
    <x v="8"/>
    <s v="Skincare Item 193"/>
    <n v="1405.42"/>
    <n v="3"/>
    <n v="301.70999999999998"/>
    <x v="2"/>
    <n v="0.21467603990266251"/>
    <x v="5"/>
    <x v="2"/>
  </r>
  <r>
    <s v="O-10897"/>
    <d v="2024-09-26T00:00:00"/>
    <x v="1"/>
    <x v="3"/>
    <x v="5"/>
    <s v="Outdoor Item 76"/>
    <n v="1748.76"/>
    <n v="8"/>
    <n v="217"/>
    <x v="0"/>
    <n v="0.12408792515839795"/>
    <x v="5"/>
    <x v="2"/>
  </r>
  <r>
    <s v="O-10898"/>
    <d v="2024-09-27T00:00:00"/>
    <x v="0"/>
    <x v="2"/>
    <x v="3"/>
    <s v="Men Item 125"/>
    <n v="1641.11"/>
    <n v="9"/>
    <n v="95.09"/>
    <x v="1"/>
    <n v="5.794249014386605E-2"/>
    <x v="5"/>
    <x v="2"/>
  </r>
  <r>
    <s v="O-10899"/>
    <d v="2024-09-28T00:00:00"/>
    <x v="3"/>
    <x v="0"/>
    <x v="11"/>
    <s v="Laptops Item 184"/>
    <n v="708.09"/>
    <n v="7"/>
    <n v="55.89"/>
    <x v="2"/>
    <n v="7.8930644409608952E-2"/>
    <x v="5"/>
    <x v="2"/>
  </r>
  <r>
    <s v="O-10900"/>
    <d v="2024-09-29T00:00:00"/>
    <x v="3"/>
    <x v="4"/>
    <x v="12"/>
    <s v="Decor Item 129"/>
    <n v="926.7"/>
    <n v="8"/>
    <n v="275.56"/>
    <x v="0"/>
    <n v="0.29735621020826586"/>
    <x v="5"/>
    <x v="2"/>
  </r>
  <r>
    <s v="O-10901"/>
    <d v="2024-09-30T00:00:00"/>
    <x v="0"/>
    <x v="0"/>
    <x v="7"/>
    <s v="Accessories Item 65"/>
    <n v="293.01"/>
    <n v="6"/>
    <n v="80.41"/>
    <x v="0"/>
    <n v="0.2744274939421863"/>
    <x v="5"/>
    <x v="2"/>
  </r>
  <r>
    <s v="O-10902"/>
    <d v="2024-10-01T00:00:00"/>
    <x v="1"/>
    <x v="2"/>
    <x v="3"/>
    <s v="Men Item 22"/>
    <n v="965.15"/>
    <n v="8"/>
    <n v="86.45"/>
    <x v="2"/>
    <n v="8.9571569186136873E-2"/>
    <x v="6"/>
    <x v="2"/>
  </r>
  <r>
    <s v="O-10903"/>
    <d v="2024-10-02T00:00:00"/>
    <x v="2"/>
    <x v="4"/>
    <x v="10"/>
    <s v="Furniture Item 90"/>
    <n v="328.95"/>
    <n v="6"/>
    <n v="54.83"/>
    <x v="2"/>
    <n v="0.16668186654506764"/>
    <x v="6"/>
    <x v="2"/>
  </r>
  <r>
    <s v="O-10904"/>
    <d v="2024-10-03T00:00:00"/>
    <x v="2"/>
    <x v="0"/>
    <x v="9"/>
    <s v="Phones Item 173"/>
    <n v="1685"/>
    <n v="8"/>
    <n v="424.79"/>
    <x v="1"/>
    <n v="0.25210089020771514"/>
    <x v="6"/>
    <x v="2"/>
  </r>
  <r>
    <s v="O-10905"/>
    <d v="2024-10-04T00:00:00"/>
    <x v="1"/>
    <x v="0"/>
    <x v="7"/>
    <s v="Accessories Item 27"/>
    <n v="1567.38"/>
    <n v="5"/>
    <n v="158.4"/>
    <x v="1"/>
    <n v="0.10106036825785705"/>
    <x v="6"/>
    <x v="2"/>
  </r>
  <r>
    <s v="O-10906"/>
    <d v="2024-10-05T00:00:00"/>
    <x v="3"/>
    <x v="4"/>
    <x v="15"/>
    <s v="Appliances Item 6"/>
    <n v="1364.81"/>
    <n v="1"/>
    <n v="211.81"/>
    <x v="0"/>
    <n v="0.15519376323444289"/>
    <x v="6"/>
    <x v="2"/>
  </r>
  <r>
    <s v="O-10907"/>
    <d v="2024-10-06T00:00:00"/>
    <x v="3"/>
    <x v="4"/>
    <x v="12"/>
    <s v="Decor Item 47"/>
    <n v="961.68"/>
    <n v="4"/>
    <n v="108.13"/>
    <x v="2"/>
    <n v="0.11243864903086266"/>
    <x v="6"/>
    <x v="2"/>
  </r>
  <r>
    <s v="O-10908"/>
    <d v="2024-10-07T00:00:00"/>
    <x v="2"/>
    <x v="3"/>
    <x v="5"/>
    <s v="Outdoor Item 192"/>
    <n v="1246.0899999999999"/>
    <n v="4"/>
    <n v="237.44"/>
    <x v="1"/>
    <n v="0.19054803425113756"/>
    <x v="6"/>
    <x v="2"/>
  </r>
  <r>
    <s v="O-10909"/>
    <d v="2024-10-08T00:00:00"/>
    <x v="3"/>
    <x v="4"/>
    <x v="10"/>
    <s v="Furniture Item 13"/>
    <n v="463.49"/>
    <n v="7"/>
    <n v="82.54"/>
    <x v="1"/>
    <n v="0.17808366955058363"/>
    <x v="6"/>
    <x v="2"/>
  </r>
  <r>
    <s v="O-10910"/>
    <d v="2024-10-09T00:00:00"/>
    <x v="3"/>
    <x v="1"/>
    <x v="8"/>
    <s v="Skincare Item 163"/>
    <n v="172.07"/>
    <n v="3"/>
    <n v="18.559999999999999"/>
    <x v="1"/>
    <n v="0.10786307897948509"/>
    <x v="6"/>
    <x v="2"/>
  </r>
  <r>
    <s v="O-10911"/>
    <d v="2024-10-10T00:00:00"/>
    <x v="1"/>
    <x v="4"/>
    <x v="12"/>
    <s v="Decor Item 160"/>
    <n v="1881.56"/>
    <n v="8"/>
    <n v="244.44"/>
    <x v="2"/>
    <n v="0.12991347605178682"/>
    <x v="6"/>
    <x v="2"/>
  </r>
  <r>
    <s v="O-10912"/>
    <d v="2024-10-11T00:00:00"/>
    <x v="0"/>
    <x v="1"/>
    <x v="1"/>
    <s v="Makeup Item 145"/>
    <n v="1800.54"/>
    <n v="2"/>
    <n v="137.68"/>
    <x v="0"/>
    <n v="7.6465949104157646E-2"/>
    <x v="6"/>
    <x v="2"/>
  </r>
  <r>
    <s v="O-10913"/>
    <d v="2024-10-12T00:00:00"/>
    <x v="1"/>
    <x v="1"/>
    <x v="13"/>
    <s v="Haircare Item 141"/>
    <n v="1072.69"/>
    <n v="5"/>
    <n v="72.44"/>
    <x v="1"/>
    <n v="6.7531159980982386E-2"/>
    <x v="6"/>
    <x v="2"/>
  </r>
  <r>
    <s v="O-10914"/>
    <d v="2024-10-13T00:00:00"/>
    <x v="0"/>
    <x v="3"/>
    <x v="4"/>
    <s v="Fitness Item 144"/>
    <n v="102.99"/>
    <n v="2"/>
    <n v="19.489999999999998"/>
    <x v="0"/>
    <n v="0.18924167394892707"/>
    <x v="6"/>
    <x v="2"/>
  </r>
  <r>
    <s v="O-10915"/>
    <d v="2024-10-14T00:00:00"/>
    <x v="0"/>
    <x v="0"/>
    <x v="7"/>
    <s v="Accessories Item 24"/>
    <n v="1937.98"/>
    <n v="9"/>
    <n v="248.57"/>
    <x v="1"/>
    <n v="0.12826241756880877"/>
    <x v="6"/>
    <x v="2"/>
  </r>
  <r>
    <s v="O-10916"/>
    <d v="2024-10-15T00:00:00"/>
    <x v="1"/>
    <x v="1"/>
    <x v="8"/>
    <s v="Skincare Item 108"/>
    <n v="1834.51"/>
    <n v="9"/>
    <n v="222.76"/>
    <x v="1"/>
    <n v="0.12142752015524581"/>
    <x v="6"/>
    <x v="2"/>
  </r>
  <r>
    <s v="O-10917"/>
    <d v="2024-10-16T00:00:00"/>
    <x v="3"/>
    <x v="1"/>
    <x v="8"/>
    <s v="Skincare Item 146"/>
    <n v="105.24"/>
    <n v="5"/>
    <n v="16.53"/>
    <x v="2"/>
    <n v="0.15706955530216649"/>
    <x v="6"/>
    <x v="2"/>
  </r>
  <r>
    <s v="O-10918"/>
    <d v="2024-10-17T00:00:00"/>
    <x v="2"/>
    <x v="1"/>
    <x v="8"/>
    <s v="Skincare Item 98"/>
    <n v="1652.45"/>
    <n v="7"/>
    <n v="426.72"/>
    <x v="2"/>
    <n v="0.25823474235226485"/>
    <x v="6"/>
    <x v="2"/>
  </r>
  <r>
    <s v="O-10919"/>
    <d v="2024-10-18T00:00:00"/>
    <x v="0"/>
    <x v="2"/>
    <x v="6"/>
    <s v="Kids Item 108"/>
    <n v="770.5"/>
    <n v="7"/>
    <n v="134.93"/>
    <x v="2"/>
    <n v="0.17512005191434135"/>
    <x v="6"/>
    <x v="2"/>
  </r>
  <r>
    <s v="O-10920"/>
    <d v="2024-10-19T00:00:00"/>
    <x v="3"/>
    <x v="2"/>
    <x v="6"/>
    <s v="Kids Item 146"/>
    <n v="514.02"/>
    <n v="9"/>
    <n v="65.34"/>
    <x v="2"/>
    <n v="0.12711567643282365"/>
    <x v="6"/>
    <x v="2"/>
  </r>
  <r>
    <s v="O-10921"/>
    <d v="2024-10-20T00:00:00"/>
    <x v="1"/>
    <x v="1"/>
    <x v="13"/>
    <s v="Haircare Item 6"/>
    <n v="663.92"/>
    <n v="3"/>
    <n v="170.71"/>
    <x v="2"/>
    <n v="0.25712435233160624"/>
    <x v="6"/>
    <x v="2"/>
  </r>
  <r>
    <s v="O-10922"/>
    <d v="2024-10-21T00:00:00"/>
    <x v="0"/>
    <x v="3"/>
    <x v="14"/>
    <s v="Equipment Item 96"/>
    <n v="1932.18"/>
    <n v="4"/>
    <n v="209.59"/>
    <x v="1"/>
    <n v="0.10847333064207268"/>
    <x v="6"/>
    <x v="2"/>
  </r>
  <r>
    <s v="O-10923"/>
    <d v="2024-10-22T00:00:00"/>
    <x v="2"/>
    <x v="2"/>
    <x v="2"/>
    <s v="Women Item 198"/>
    <n v="892.34"/>
    <n v="1"/>
    <n v="133.9"/>
    <x v="0"/>
    <n v="0.1500549118049174"/>
    <x v="6"/>
    <x v="2"/>
  </r>
  <r>
    <s v="O-10924"/>
    <d v="2024-10-23T00:00:00"/>
    <x v="1"/>
    <x v="0"/>
    <x v="11"/>
    <s v="Laptops Item 137"/>
    <n v="1214.99"/>
    <n v="7"/>
    <n v="200.37"/>
    <x v="2"/>
    <n v="0.16491493757150266"/>
    <x v="6"/>
    <x v="2"/>
  </r>
  <r>
    <s v="O-10925"/>
    <d v="2024-10-24T00:00:00"/>
    <x v="1"/>
    <x v="3"/>
    <x v="5"/>
    <s v="Outdoor Item 113"/>
    <n v="622.9"/>
    <n v="9"/>
    <n v="59.36"/>
    <x v="2"/>
    <n v="9.5296195215925514E-2"/>
    <x v="6"/>
    <x v="2"/>
  </r>
  <r>
    <s v="O-10926"/>
    <d v="2024-10-25T00:00:00"/>
    <x v="0"/>
    <x v="3"/>
    <x v="5"/>
    <s v="Outdoor Item 125"/>
    <n v="460.9"/>
    <n v="4"/>
    <n v="86.01"/>
    <x v="1"/>
    <n v="0.18661314818832719"/>
    <x v="6"/>
    <x v="2"/>
  </r>
  <r>
    <s v="O-10927"/>
    <d v="2024-10-26T00:00:00"/>
    <x v="2"/>
    <x v="2"/>
    <x v="3"/>
    <s v="Men Item 25"/>
    <n v="337.25"/>
    <n v="8"/>
    <n v="52.12"/>
    <x v="0"/>
    <n v="0.15454410674573757"/>
    <x v="6"/>
    <x v="2"/>
  </r>
  <r>
    <s v="O-10928"/>
    <d v="2024-10-27T00:00:00"/>
    <x v="0"/>
    <x v="4"/>
    <x v="15"/>
    <s v="Appliances Item 74"/>
    <n v="1797.97"/>
    <n v="9"/>
    <n v="400.23"/>
    <x v="0"/>
    <n v="0.22260104451130999"/>
    <x v="6"/>
    <x v="2"/>
  </r>
  <r>
    <s v="O-10929"/>
    <d v="2024-10-28T00:00:00"/>
    <x v="2"/>
    <x v="2"/>
    <x v="6"/>
    <s v="Kids Item 119"/>
    <n v="1613.83"/>
    <n v="9"/>
    <n v="347.67"/>
    <x v="2"/>
    <n v="0.21543161299517299"/>
    <x v="6"/>
    <x v="2"/>
  </r>
  <r>
    <s v="O-10930"/>
    <d v="2024-10-29T00:00:00"/>
    <x v="1"/>
    <x v="0"/>
    <x v="0"/>
    <s v="Cameras Item 48"/>
    <n v="342.78"/>
    <n v="3"/>
    <n v="37.28"/>
    <x v="1"/>
    <n v="0.10875780383919717"/>
    <x v="6"/>
    <x v="2"/>
  </r>
  <r>
    <s v="O-10931"/>
    <d v="2024-10-30T00:00:00"/>
    <x v="1"/>
    <x v="2"/>
    <x v="6"/>
    <s v="Kids Item 149"/>
    <n v="1897.54"/>
    <n v="7"/>
    <n v="159.13999999999999"/>
    <x v="1"/>
    <n v="8.386647975800246E-2"/>
    <x v="6"/>
    <x v="2"/>
  </r>
  <r>
    <s v="O-10932"/>
    <d v="2024-10-31T00:00:00"/>
    <x v="1"/>
    <x v="3"/>
    <x v="4"/>
    <s v="Fitness Item 126"/>
    <n v="1739.45"/>
    <n v="9"/>
    <n v="269.45"/>
    <x v="2"/>
    <n v="0.15490528615366925"/>
    <x v="6"/>
    <x v="2"/>
  </r>
  <r>
    <s v="O-10933"/>
    <d v="2024-11-01T00:00:00"/>
    <x v="2"/>
    <x v="3"/>
    <x v="4"/>
    <s v="Fitness Item 75"/>
    <n v="851.61"/>
    <n v="3"/>
    <n v="126.23"/>
    <x v="1"/>
    <n v="0.14822512652505254"/>
    <x v="7"/>
    <x v="2"/>
  </r>
  <r>
    <s v="O-10934"/>
    <d v="2024-11-02T00:00:00"/>
    <x v="2"/>
    <x v="1"/>
    <x v="13"/>
    <s v="Haircare Item 90"/>
    <n v="1894.58"/>
    <n v="9"/>
    <n v="467.66"/>
    <x v="0"/>
    <n v="0.24684098850404843"/>
    <x v="7"/>
    <x v="2"/>
  </r>
  <r>
    <s v="O-10935"/>
    <d v="2024-11-03T00:00:00"/>
    <x v="2"/>
    <x v="0"/>
    <x v="7"/>
    <s v="Accessories Item 48"/>
    <n v="1401.48"/>
    <n v="4"/>
    <n v="411.26"/>
    <x v="2"/>
    <n v="0.29344692753375001"/>
    <x v="7"/>
    <x v="2"/>
  </r>
  <r>
    <s v="O-10936"/>
    <d v="2024-11-04T00:00:00"/>
    <x v="0"/>
    <x v="3"/>
    <x v="4"/>
    <s v="Fitness Item 59"/>
    <n v="1080.03"/>
    <n v="8"/>
    <n v="298.14999999999998"/>
    <x v="0"/>
    <n v="0.27605714656074365"/>
    <x v="7"/>
    <x v="2"/>
  </r>
  <r>
    <s v="O-10937"/>
    <d v="2024-11-05T00:00:00"/>
    <x v="2"/>
    <x v="3"/>
    <x v="4"/>
    <s v="Fitness Item 124"/>
    <n v="863.72"/>
    <n v="1"/>
    <n v="91.08"/>
    <x v="1"/>
    <n v="0.1054508405501783"/>
    <x v="7"/>
    <x v="2"/>
  </r>
  <r>
    <s v="O-10938"/>
    <d v="2024-11-06T00:00:00"/>
    <x v="0"/>
    <x v="3"/>
    <x v="14"/>
    <s v="Equipment Item 120"/>
    <n v="533.59"/>
    <n v="8"/>
    <n v="150.79"/>
    <x v="1"/>
    <n v="0.28259525103543914"/>
    <x v="7"/>
    <x v="2"/>
  </r>
  <r>
    <s v="O-10939"/>
    <d v="2024-11-07T00:00:00"/>
    <x v="1"/>
    <x v="0"/>
    <x v="11"/>
    <s v="Laptops Item 36"/>
    <n v="911.12"/>
    <n v="5"/>
    <n v="64.58"/>
    <x v="2"/>
    <n v="7.0879796294670297E-2"/>
    <x v="7"/>
    <x v="2"/>
  </r>
  <r>
    <s v="O-10940"/>
    <d v="2024-11-08T00:00:00"/>
    <x v="1"/>
    <x v="3"/>
    <x v="14"/>
    <s v="Equipment Item 14"/>
    <n v="1509.89"/>
    <n v="4"/>
    <n v="261.41000000000003"/>
    <x v="0"/>
    <n v="0.17313181754962281"/>
    <x v="7"/>
    <x v="2"/>
  </r>
  <r>
    <s v="O-10941"/>
    <d v="2024-11-09T00:00:00"/>
    <x v="1"/>
    <x v="1"/>
    <x v="8"/>
    <s v="Skincare Item 29"/>
    <n v="682.11"/>
    <n v="4"/>
    <n v="152.41999999999999"/>
    <x v="1"/>
    <n v="0.22345369515180832"/>
    <x v="7"/>
    <x v="2"/>
  </r>
  <r>
    <s v="O-10942"/>
    <d v="2024-11-10T00:00:00"/>
    <x v="1"/>
    <x v="1"/>
    <x v="8"/>
    <s v="Skincare Item 19"/>
    <n v="448.18"/>
    <n v="5"/>
    <n v="112.65"/>
    <x v="1"/>
    <n v="0.25134990405640589"/>
    <x v="7"/>
    <x v="2"/>
  </r>
  <r>
    <s v="O-10943"/>
    <d v="2024-11-11T00:00:00"/>
    <x v="1"/>
    <x v="4"/>
    <x v="10"/>
    <s v="Furniture Item 55"/>
    <n v="324.72000000000003"/>
    <n v="4"/>
    <n v="75.81"/>
    <x v="2"/>
    <n v="0.23346267553584626"/>
    <x v="7"/>
    <x v="2"/>
  </r>
  <r>
    <s v="O-10944"/>
    <d v="2024-11-12T00:00:00"/>
    <x v="2"/>
    <x v="1"/>
    <x v="13"/>
    <s v="Haircare Item 130"/>
    <n v="828.74"/>
    <n v="2"/>
    <n v="53.18"/>
    <x v="2"/>
    <n v="6.4169703405169295E-2"/>
    <x v="7"/>
    <x v="2"/>
  </r>
  <r>
    <s v="O-10945"/>
    <d v="2024-11-13T00:00:00"/>
    <x v="1"/>
    <x v="1"/>
    <x v="8"/>
    <s v="Skincare Item 45"/>
    <n v="688.31"/>
    <n v="2"/>
    <n v="67.7"/>
    <x v="0"/>
    <n v="9.835684502622366E-2"/>
    <x v="7"/>
    <x v="2"/>
  </r>
  <r>
    <s v="O-10946"/>
    <d v="2024-11-14T00:00:00"/>
    <x v="2"/>
    <x v="0"/>
    <x v="9"/>
    <s v="Phones Item 100"/>
    <n v="1774.45"/>
    <n v="4"/>
    <n v="227.09"/>
    <x v="0"/>
    <n v="0.12797768322578826"/>
    <x v="7"/>
    <x v="2"/>
  </r>
  <r>
    <s v="O-10947"/>
    <d v="2024-11-15T00:00:00"/>
    <x v="1"/>
    <x v="3"/>
    <x v="14"/>
    <s v="Equipment Item 70"/>
    <n v="1752.73"/>
    <n v="9"/>
    <n v="149.47"/>
    <x v="0"/>
    <n v="8.5278394276357458E-2"/>
    <x v="7"/>
    <x v="2"/>
  </r>
  <r>
    <s v="O-10948"/>
    <d v="2024-11-16T00:00:00"/>
    <x v="0"/>
    <x v="3"/>
    <x v="5"/>
    <s v="Outdoor Item 132"/>
    <n v="229.07"/>
    <n v="5"/>
    <n v="20.41"/>
    <x v="0"/>
    <n v="8.9099401929541189E-2"/>
    <x v="7"/>
    <x v="2"/>
  </r>
  <r>
    <s v="O-10949"/>
    <d v="2024-11-17T00:00:00"/>
    <x v="1"/>
    <x v="4"/>
    <x v="10"/>
    <s v="Furniture Item 75"/>
    <n v="733.74"/>
    <n v="4"/>
    <n v="86.33"/>
    <x v="2"/>
    <n v="0.11765748085152779"/>
    <x v="7"/>
    <x v="2"/>
  </r>
  <r>
    <s v="O-10950"/>
    <d v="2024-11-18T00:00:00"/>
    <x v="2"/>
    <x v="1"/>
    <x v="13"/>
    <s v="Haircare Item 42"/>
    <n v="900.17"/>
    <n v="7"/>
    <n v="71.400000000000006"/>
    <x v="0"/>
    <n v="7.9318350978148586E-2"/>
    <x v="7"/>
    <x v="2"/>
  </r>
  <r>
    <s v="O-10951"/>
    <d v="2024-11-19T00:00:00"/>
    <x v="0"/>
    <x v="4"/>
    <x v="10"/>
    <s v="Furniture Item 159"/>
    <n v="1325.66"/>
    <n v="9"/>
    <n v="234.34"/>
    <x v="2"/>
    <n v="0.17677232472881432"/>
    <x v="7"/>
    <x v="2"/>
  </r>
  <r>
    <s v="O-10952"/>
    <d v="2024-11-20T00:00:00"/>
    <x v="3"/>
    <x v="0"/>
    <x v="9"/>
    <s v="Phones Item 83"/>
    <n v="1970.65"/>
    <n v="2"/>
    <n v="312.52999999999997"/>
    <x v="2"/>
    <n v="0.15859234262806687"/>
    <x v="7"/>
    <x v="2"/>
  </r>
  <r>
    <s v="O-10953"/>
    <d v="2024-11-21T00:00:00"/>
    <x v="1"/>
    <x v="4"/>
    <x v="12"/>
    <s v="Decor Item 130"/>
    <n v="1245.17"/>
    <n v="8"/>
    <n v="237.9"/>
    <x v="0"/>
    <n v="0.19105824907442356"/>
    <x v="7"/>
    <x v="2"/>
  </r>
  <r>
    <s v="O-10954"/>
    <d v="2024-11-22T00:00:00"/>
    <x v="2"/>
    <x v="4"/>
    <x v="12"/>
    <s v="Decor Item 16"/>
    <n v="419.03"/>
    <n v="5"/>
    <n v="65.959999999999994"/>
    <x v="1"/>
    <n v="0.15741116387848125"/>
    <x v="7"/>
    <x v="2"/>
  </r>
  <r>
    <s v="O-10955"/>
    <d v="2024-11-23T00:00:00"/>
    <x v="3"/>
    <x v="4"/>
    <x v="12"/>
    <s v="Decor Item 129"/>
    <n v="275.77"/>
    <n v="5"/>
    <n v="67.53"/>
    <x v="1"/>
    <n v="0.24487797802516592"/>
    <x v="7"/>
    <x v="2"/>
  </r>
  <r>
    <s v="O-10956"/>
    <d v="2024-11-24T00:00:00"/>
    <x v="0"/>
    <x v="2"/>
    <x v="2"/>
    <s v="Women Item 111"/>
    <n v="1640.39"/>
    <n v="1"/>
    <n v="446.97"/>
    <x v="0"/>
    <n v="0.27247788635629333"/>
    <x v="7"/>
    <x v="2"/>
  </r>
  <r>
    <s v="O-10957"/>
    <d v="2024-11-25T00:00:00"/>
    <x v="2"/>
    <x v="4"/>
    <x v="10"/>
    <s v="Furniture Item 65"/>
    <n v="1311.14"/>
    <n v="5"/>
    <n v="316.43"/>
    <x v="2"/>
    <n v="0.24133959760208673"/>
    <x v="7"/>
    <x v="2"/>
  </r>
  <r>
    <s v="O-10958"/>
    <d v="2024-11-26T00:00:00"/>
    <x v="1"/>
    <x v="2"/>
    <x v="6"/>
    <s v="Kids Item 106"/>
    <n v="1733.81"/>
    <n v="3"/>
    <n v="141.29"/>
    <x v="1"/>
    <n v="8.1491051499299236E-2"/>
    <x v="7"/>
    <x v="2"/>
  </r>
  <r>
    <s v="O-10959"/>
    <d v="2024-11-27T00:00:00"/>
    <x v="2"/>
    <x v="4"/>
    <x v="12"/>
    <s v="Decor Item 50"/>
    <n v="1354.2"/>
    <n v="3"/>
    <n v="177.51"/>
    <x v="0"/>
    <n v="0.13108108108108107"/>
    <x v="7"/>
    <x v="2"/>
  </r>
  <r>
    <s v="O-10960"/>
    <d v="2024-11-28T00:00:00"/>
    <x v="3"/>
    <x v="2"/>
    <x v="3"/>
    <s v="Men Item 27"/>
    <n v="1196.5999999999999"/>
    <n v="2"/>
    <n v="288.93"/>
    <x v="2"/>
    <n v="0.24145913421360524"/>
    <x v="7"/>
    <x v="2"/>
  </r>
  <r>
    <s v="O-10961"/>
    <d v="2024-11-29T00:00:00"/>
    <x v="1"/>
    <x v="2"/>
    <x v="3"/>
    <s v="Men Item 182"/>
    <n v="869.54"/>
    <n v="6"/>
    <n v="74.650000000000006"/>
    <x v="1"/>
    <n v="8.5849989649699851E-2"/>
    <x v="7"/>
    <x v="2"/>
  </r>
  <r>
    <s v="O-10962"/>
    <d v="2024-11-30T00:00:00"/>
    <x v="2"/>
    <x v="1"/>
    <x v="1"/>
    <s v="Makeup Item 125"/>
    <n v="938.85"/>
    <n v="8"/>
    <n v="122.95"/>
    <x v="2"/>
    <n v="0.13095808702135592"/>
    <x v="7"/>
    <x v="2"/>
  </r>
  <r>
    <s v="O-10963"/>
    <d v="2024-12-01T00:00:00"/>
    <x v="3"/>
    <x v="1"/>
    <x v="13"/>
    <s v="Haircare Item 118"/>
    <n v="453.05"/>
    <n v="5"/>
    <n v="96.32"/>
    <x v="1"/>
    <n v="0.21260346540116984"/>
    <x v="8"/>
    <x v="2"/>
  </r>
  <r>
    <s v="O-10964"/>
    <d v="2024-12-02T00:00:00"/>
    <x v="1"/>
    <x v="4"/>
    <x v="10"/>
    <s v="Furniture Item 22"/>
    <n v="261.57"/>
    <n v="2"/>
    <n v="16.02"/>
    <x v="1"/>
    <n v="6.1245555682991171E-2"/>
    <x v="8"/>
    <x v="2"/>
  </r>
  <r>
    <s v="O-10965"/>
    <d v="2024-12-03T00:00:00"/>
    <x v="2"/>
    <x v="3"/>
    <x v="5"/>
    <s v="Outdoor Item 80"/>
    <n v="695.81"/>
    <n v="9"/>
    <n v="196.37"/>
    <x v="0"/>
    <n v="0.28221784682600137"/>
    <x v="8"/>
    <x v="2"/>
  </r>
  <r>
    <s v="O-10966"/>
    <d v="2024-12-04T00:00:00"/>
    <x v="1"/>
    <x v="3"/>
    <x v="5"/>
    <s v="Outdoor Item 73"/>
    <n v="941.37"/>
    <n v="9"/>
    <n v="193.62"/>
    <x v="2"/>
    <n v="0.20567895726441252"/>
    <x v="8"/>
    <x v="2"/>
  </r>
  <r>
    <s v="O-10967"/>
    <d v="2024-12-05T00:00:00"/>
    <x v="1"/>
    <x v="4"/>
    <x v="10"/>
    <s v="Furniture Item 176"/>
    <n v="75.150000000000006"/>
    <n v="2"/>
    <n v="11.77"/>
    <x v="0"/>
    <n v="0.15662009314703923"/>
    <x v="8"/>
    <x v="2"/>
  </r>
  <r>
    <s v="O-10968"/>
    <d v="2024-12-06T00:00:00"/>
    <x v="3"/>
    <x v="2"/>
    <x v="2"/>
    <s v="Women Item 164"/>
    <n v="365.8"/>
    <n v="2"/>
    <n v="79"/>
    <x v="0"/>
    <n v="0.21596500820120285"/>
    <x v="8"/>
    <x v="2"/>
  </r>
  <r>
    <s v="O-10969"/>
    <d v="2024-12-07T00:00:00"/>
    <x v="2"/>
    <x v="1"/>
    <x v="13"/>
    <s v="Haircare Item 194"/>
    <n v="119.83"/>
    <n v="5"/>
    <n v="23.27"/>
    <x v="1"/>
    <n v="0.19419177167654178"/>
    <x v="8"/>
    <x v="2"/>
  </r>
  <r>
    <s v="O-10970"/>
    <d v="2024-12-08T00:00:00"/>
    <x v="3"/>
    <x v="3"/>
    <x v="14"/>
    <s v="Equipment Item 103"/>
    <n v="1010.55"/>
    <n v="5"/>
    <n v="202.34"/>
    <x v="1"/>
    <n v="0.20022759883231905"/>
    <x v="8"/>
    <x v="2"/>
  </r>
  <r>
    <s v="O-10971"/>
    <d v="2024-12-09T00:00:00"/>
    <x v="1"/>
    <x v="3"/>
    <x v="14"/>
    <s v="Equipment Item 128"/>
    <n v="1728.76"/>
    <n v="6"/>
    <n v="148.36000000000001"/>
    <x v="2"/>
    <n v="8.5818737129503234E-2"/>
    <x v="8"/>
    <x v="2"/>
  </r>
  <r>
    <s v="O-10972"/>
    <d v="2024-12-10T00:00:00"/>
    <x v="1"/>
    <x v="4"/>
    <x v="10"/>
    <s v="Furniture Item 173"/>
    <n v="600.84"/>
    <n v="4"/>
    <n v="120.99"/>
    <x v="1"/>
    <n v="0.20136808468144596"/>
    <x v="8"/>
    <x v="2"/>
  </r>
  <r>
    <s v="O-10973"/>
    <d v="2024-12-11T00:00:00"/>
    <x v="3"/>
    <x v="0"/>
    <x v="11"/>
    <s v="Laptops Item 161"/>
    <n v="1678.31"/>
    <n v="4"/>
    <n v="480.8"/>
    <x v="0"/>
    <n v="0.28647866008067641"/>
    <x v="8"/>
    <x v="2"/>
  </r>
  <r>
    <s v="O-10974"/>
    <d v="2024-12-12T00:00:00"/>
    <x v="3"/>
    <x v="2"/>
    <x v="6"/>
    <s v="Kids Item 151"/>
    <n v="22.2"/>
    <n v="5"/>
    <n v="4.78"/>
    <x v="0"/>
    <n v="0.21531531531531534"/>
    <x v="8"/>
    <x v="2"/>
  </r>
  <r>
    <s v="O-10975"/>
    <d v="2024-12-13T00:00:00"/>
    <x v="1"/>
    <x v="2"/>
    <x v="2"/>
    <s v="Women Item 198"/>
    <n v="1375.56"/>
    <n v="1"/>
    <n v="297.48"/>
    <x v="1"/>
    <n v="0.2162610136962401"/>
    <x v="8"/>
    <x v="2"/>
  </r>
  <r>
    <s v="O-10976"/>
    <d v="2024-12-14T00:00:00"/>
    <x v="2"/>
    <x v="4"/>
    <x v="15"/>
    <s v="Appliances Item 61"/>
    <n v="698.61"/>
    <n v="1"/>
    <n v="180.16"/>
    <x v="2"/>
    <n v="0.25788351154435235"/>
    <x v="8"/>
    <x v="2"/>
  </r>
  <r>
    <s v="O-10977"/>
    <d v="2024-12-15T00:00:00"/>
    <x v="1"/>
    <x v="3"/>
    <x v="4"/>
    <s v="Fitness Item 44"/>
    <n v="1306.58"/>
    <n v="4"/>
    <n v="275.98"/>
    <x v="0"/>
    <n v="0.21122319337507081"/>
    <x v="8"/>
    <x v="2"/>
  </r>
  <r>
    <s v="O-10978"/>
    <d v="2024-12-16T00:00:00"/>
    <x v="0"/>
    <x v="1"/>
    <x v="1"/>
    <s v="Makeup Item 79"/>
    <n v="1784.58"/>
    <n v="5"/>
    <n v="406.95"/>
    <x v="1"/>
    <n v="0.22803684900648893"/>
    <x v="8"/>
    <x v="2"/>
  </r>
  <r>
    <s v="O-10979"/>
    <d v="2024-12-17T00:00:00"/>
    <x v="3"/>
    <x v="0"/>
    <x v="9"/>
    <s v="Phones Item 83"/>
    <n v="313.47000000000003"/>
    <n v="7"/>
    <n v="79.56"/>
    <x v="0"/>
    <n v="0.25380419178868791"/>
    <x v="8"/>
    <x v="2"/>
  </r>
  <r>
    <s v="O-10980"/>
    <d v="2024-12-18T00:00:00"/>
    <x v="1"/>
    <x v="4"/>
    <x v="10"/>
    <s v="Furniture Item 35"/>
    <n v="1799.6"/>
    <n v="6"/>
    <n v="455.41"/>
    <x v="0"/>
    <n v="0.25306179150922431"/>
    <x v="8"/>
    <x v="2"/>
  </r>
  <r>
    <s v="O-10981"/>
    <d v="2024-12-19T00:00:00"/>
    <x v="1"/>
    <x v="3"/>
    <x v="4"/>
    <s v="Fitness Item 22"/>
    <n v="1339.21"/>
    <n v="5"/>
    <n v="197.11"/>
    <x v="0"/>
    <n v="0.14718378745678423"/>
    <x v="8"/>
    <x v="2"/>
  </r>
  <r>
    <s v="O-10982"/>
    <d v="2024-12-20T00:00:00"/>
    <x v="0"/>
    <x v="4"/>
    <x v="10"/>
    <s v="Furniture Item 72"/>
    <n v="208.03"/>
    <n v="4"/>
    <n v="17.579999999999998"/>
    <x v="1"/>
    <n v="8.4507042253521111E-2"/>
    <x v="8"/>
    <x v="2"/>
  </r>
  <r>
    <s v="O-10983"/>
    <d v="2024-12-21T00:00:00"/>
    <x v="0"/>
    <x v="2"/>
    <x v="2"/>
    <s v="Women Item 75"/>
    <n v="1662.85"/>
    <n v="6"/>
    <n v="267.76"/>
    <x v="1"/>
    <n v="0.16102474666987401"/>
    <x v="8"/>
    <x v="2"/>
  </r>
  <r>
    <s v="O-10984"/>
    <d v="2024-12-22T00:00:00"/>
    <x v="0"/>
    <x v="4"/>
    <x v="10"/>
    <s v="Furniture Item 16"/>
    <n v="1991.23"/>
    <n v="3"/>
    <n v="504.02"/>
    <x v="2"/>
    <n v="0.25311993089698326"/>
    <x v="8"/>
    <x v="2"/>
  </r>
  <r>
    <s v="O-10985"/>
    <d v="2024-12-23T00:00:00"/>
    <x v="3"/>
    <x v="2"/>
    <x v="6"/>
    <s v="Kids Item 181"/>
    <n v="625.37"/>
    <n v="1"/>
    <n v="107.73"/>
    <x v="1"/>
    <n v="0.17226601851703791"/>
    <x v="8"/>
    <x v="2"/>
  </r>
  <r>
    <s v="O-10986"/>
    <d v="2024-12-24T00:00:00"/>
    <x v="1"/>
    <x v="4"/>
    <x v="15"/>
    <s v="Appliances Item 8"/>
    <n v="644.16999999999996"/>
    <n v="3"/>
    <n v="90.94"/>
    <x v="0"/>
    <n v="0.14117391371842838"/>
    <x v="8"/>
    <x v="2"/>
  </r>
  <r>
    <s v="O-10987"/>
    <d v="2024-12-25T00:00:00"/>
    <x v="0"/>
    <x v="0"/>
    <x v="0"/>
    <s v="Cameras Item 163"/>
    <n v="1339.9"/>
    <n v="4"/>
    <n v="301.68"/>
    <x v="0"/>
    <n v="0.22515113068139411"/>
    <x v="8"/>
    <x v="2"/>
  </r>
  <r>
    <s v="O-10988"/>
    <d v="2024-12-26T00:00:00"/>
    <x v="0"/>
    <x v="0"/>
    <x v="7"/>
    <s v="Accessories Item 167"/>
    <n v="1748.26"/>
    <n v="6"/>
    <n v="522.15"/>
    <x v="2"/>
    <n v="0.29866839028519782"/>
    <x v="8"/>
    <x v="2"/>
  </r>
  <r>
    <s v="O-10989"/>
    <d v="2024-12-27T00:00:00"/>
    <x v="2"/>
    <x v="3"/>
    <x v="4"/>
    <s v="Fitness Item 171"/>
    <n v="389.55"/>
    <n v="9"/>
    <n v="47.19"/>
    <x v="0"/>
    <n v="0.12113977666538313"/>
    <x v="8"/>
    <x v="2"/>
  </r>
  <r>
    <s v="O-10990"/>
    <d v="2024-12-28T00:00:00"/>
    <x v="0"/>
    <x v="2"/>
    <x v="2"/>
    <s v="Women Item 111"/>
    <n v="1241.8699999999999"/>
    <n v="6"/>
    <n v="134.29"/>
    <x v="0"/>
    <n v="0.10813531206970134"/>
    <x v="8"/>
    <x v="2"/>
  </r>
  <r>
    <s v="O-10991"/>
    <d v="2024-12-29T00:00:00"/>
    <x v="1"/>
    <x v="4"/>
    <x v="12"/>
    <s v="Decor Item 42"/>
    <n v="1056.6600000000001"/>
    <n v="3"/>
    <n v="179.23"/>
    <x v="2"/>
    <n v="0.16961936668370145"/>
    <x v="8"/>
    <x v="2"/>
  </r>
  <r>
    <s v="O-10992"/>
    <d v="2024-12-30T00:00:00"/>
    <x v="1"/>
    <x v="0"/>
    <x v="0"/>
    <s v="Cameras Item 77"/>
    <n v="1091.92"/>
    <n v="4"/>
    <n v="232.55"/>
    <x v="2"/>
    <n v="0.21297347791046964"/>
    <x v="8"/>
    <x v="2"/>
  </r>
  <r>
    <s v="O-10993"/>
    <d v="2024-12-31T00:00:00"/>
    <x v="0"/>
    <x v="1"/>
    <x v="8"/>
    <s v="Skincare Item 179"/>
    <n v="1179.46"/>
    <n v="7"/>
    <n v="127.89"/>
    <x v="0"/>
    <n v="0.10843097688772828"/>
    <x v="8"/>
    <x v="2"/>
  </r>
  <r>
    <s v="O-10994"/>
    <d v="2025-01-01T00:00:00"/>
    <x v="2"/>
    <x v="3"/>
    <x v="5"/>
    <s v="Outdoor Item 42"/>
    <n v="1643.73"/>
    <n v="6"/>
    <n v="297.19"/>
    <x v="2"/>
    <n v="0.18080219987467527"/>
    <x v="9"/>
    <x v="3"/>
  </r>
  <r>
    <s v="O-10995"/>
    <d v="2025-01-02T00:00:00"/>
    <x v="1"/>
    <x v="4"/>
    <x v="10"/>
    <s v="Furniture Item 192"/>
    <n v="810.35"/>
    <n v="4"/>
    <n v="102.87"/>
    <x v="2"/>
    <n v="0.12694514715863517"/>
    <x v="9"/>
    <x v="3"/>
  </r>
  <r>
    <s v="O-10996"/>
    <d v="2025-01-03T00:00:00"/>
    <x v="1"/>
    <x v="0"/>
    <x v="11"/>
    <s v="Laptops Item 65"/>
    <n v="1954.52"/>
    <n v="8"/>
    <n v="382.66"/>
    <x v="0"/>
    <n v="0.19578208460389254"/>
    <x v="9"/>
    <x v="3"/>
  </r>
  <r>
    <s v="O-10997"/>
    <d v="2025-01-04T00:00:00"/>
    <x v="2"/>
    <x v="2"/>
    <x v="6"/>
    <s v="Kids Item 7"/>
    <n v="1289.1099999999999"/>
    <n v="4"/>
    <n v="125.67"/>
    <x v="2"/>
    <n v="9.7485862339133214E-2"/>
    <x v="9"/>
    <x v="3"/>
  </r>
  <r>
    <s v="O-10998"/>
    <d v="2025-01-05T00:00:00"/>
    <x v="1"/>
    <x v="2"/>
    <x v="2"/>
    <s v="Women Item 102"/>
    <n v="1121.8"/>
    <n v="3"/>
    <n v="311.68"/>
    <x v="2"/>
    <n v="0.27783918702085936"/>
    <x v="9"/>
    <x v="3"/>
  </r>
  <r>
    <s v="O-10999"/>
    <d v="2025-01-06T00:00:00"/>
    <x v="1"/>
    <x v="1"/>
    <x v="8"/>
    <s v="Skincare Item 53"/>
    <n v="645.23"/>
    <n v="9"/>
    <n v="189.57"/>
    <x v="1"/>
    <n v="0.29380221006462809"/>
    <x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D5CCE-6317-4A73-B535-B6BC4FE22A28}" name="PivotTable1" cacheId="468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3">
  <location ref="A3:D8" firstHeaderRow="0" firstDataRow="1" firstDataCol="1"/>
  <pivotFields count="13">
    <pivotField compact="0" outline="0" showAll="0"/>
    <pivotField compact="0" numFmtId="165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>
      <items count="6">
        <item x="1"/>
        <item h="1" x="2"/>
        <item x="0"/>
        <item x="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Profit" fld="8" baseField="0" baseItem="0"/>
    <dataField name="Average of Profit Margin" fld="10" subtotal="average" baseField="0" baseItem="0"/>
  </dataFields>
  <formats count="15">
    <format dxfId="12">
      <pivotArea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format>
    <format dxfId="13">
      <pivotArea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format>
    <format dxfId="14">
      <pivotArea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format>
    <format dxfId="15">
      <pivotArea field="2" grandRow="1" outline="0" axis="axisRow" fieldPosition="0">
        <references count="1">
          <reference field="4294967294" count="1" selected="0">
            <x v="0"/>
          </reference>
        </references>
      </pivotArea>
    </format>
    <format dxfId="16">
      <pivotArea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7">
      <pivotArea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8">
      <pivotArea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19">
      <pivotArea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format>
    <format dxfId="20">
      <pivotArea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format>
    <format dxfId="21">
      <pivotArea field="2" grandRow="1" outline="0" axis="axisRow" fieldPosition="0">
        <references count="1">
          <reference field="4294967294" count="1" selected="0">
            <x v="1"/>
          </reference>
        </references>
      </pivotArea>
    </format>
    <format dxfId="22">
      <pivotArea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format>
    <format dxfId="23">
      <pivotArea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format>
    <format dxfId="24">
      <pivotArea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format>
    <format dxfId="25">
      <pivotArea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format>
    <format dxfId="26">
      <pivotArea field="2" grandRow="1" outline="0" axis="axisRow" fieldPosition="0">
        <references count="1">
          <reference field="4294967294" count="1" selected="0">
            <x v="2"/>
          </reference>
        </references>
      </pivotArea>
    </format>
  </formats>
  <chartFormats count="27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8BDB0-9F08-426C-A195-FA4D23BC80BF}" name="PivotTable3" cacheId="4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0">
  <location ref="A36:C75" firstHeaderRow="1" firstDataRow="1" firstDataCol="2"/>
  <pivotFields count="13">
    <pivotField compact="0" outline="0" showAll="0"/>
    <pivotField compact="0" numFmtId="165" outline="0" showAll="0"/>
    <pivotField compact="0" outline="0" showAll="0">
      <items count="5">
        <item x="0"/>
        <item x="1"/>
        <item x="3"/>
        <item x="2"/>
        <item t="default"/>
      </items>
    </pivotField>
    <pivotField compact="0" outline="0" showAll="0">
      <items count="6">
        <item x="1"/>
        <item h="1" x="2"/>
        <item x="0"/>
        <item x="4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numFmtId="10" outline="0" showAll="0"/>
    <pivotField axis="axisRow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12"/>
    <field x="11"/>
  </rowFields>
  <rowItems count="39">
    <i>
      <x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t="default">
      <x v="3"/>
    </i>
    <i t="grand">
      <x/>
    </i>
  </rowItems>
  <colItems count="1">
    <i/>
  </colItems>
  <dataFields count="1">
    <dataField name="Sum of Sales" fld="6" baseField="0" baseItem="0" numFmtId="166"/>
  </dataFields>
  <formats count="1">
    <format dxfId="11">
      <pivotArea outline="0" collapsedLevelsAreSubtotals="1" fieldPosition="0"/>
    </format>
  </format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1F43F-1C26-4815-8B52-E02D35686C69}" name="PivotTable2" cacheId="46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1:B16" firstHeaderRow="1" firstDataRow="1" firstDataCol="1"/>
  <pivotFields count="13">
    <pivotField compact="0" outline="0" showAll="0"/>
    <pivotField compact="0" numFmtId="165" outline="0" showAll="0"/>
    <pivotField compact="0" outline="0" showAll="0">
      <items count="5">
        <item x="0"/>
        <item x="1"/>
        <item x="3"/>
        <item x="2"/>
        <item t="default"/>
      </items>
    </pivotField>
    <pivotField axis="axisRow" compact="0" outline="0" showAll="0" sortType="ascending">
      <items count="6">
        <item x="1"/>
        <item h="1"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7">
        <item x="2"/>
        <item h="1" x="8"/>
        <item h="1" x="9"/>
        <item h="1" x="5"/>
        <item h="1" x="3"/>
        <item h="1" x="1"/>
        <item h="1" x="11"/>
        <item h="1" x="6"/>
        <item h="1" x="13"/>
        <item h="1" x="10"/>
        <item h="1" x="4"/>
        <item h="1" x="14"/>
        <item h="1" x="12"/>
        <item h="1" x="0"/>
        <item h="1" x="15"/>
        <item h="1" x="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numFmtId="10" outline="0" showAll="0"/>
    <pivotField compact="0" outline="0" showAll="0"/>
    <pivotField compact="0" outline="0" showAll="0"/>
  </pivotFields>
  <rowFields count="1">
    <field x="3"/>
  </rowFields>
  <rowItems count="5">
    <i>
      <x v="3"/>
    </i>
    <i>
      <x/>
    </i>
    <i>
      <x v="4"/>
    </i>
    <i>
      <x v="2"/>
    </i>
    <i t="grand">
      <x/>
    </i>
  </rowItems>
  <colItems count="1">
    <i/>
  </colItems>
  <dataFields count="1">
    <dataField name="Sum of Sales" fld="6" baseField="0" baseItem="0"/>
  </dataFields>
  <formats count="4">
    <format dxfId="7">
      <pivotArea outline="0" fieldPosition="0">
        <references count="1">
          <reference field="3" count="1" selected="0" defaultSubtotal="1">
            <x v="0"/>
          </reference>
        </references>
      </pivotArea>
    </format>
    <format dxfId="8">
      <pivotArea outline="0" fieldPosition="0">
        <references count="1">
          <reference field="3" count="4" selected="0" defaultSubtotal="1">
            <x v="1"/>
            <x v="2"/>
            <x v="3"/>
            <x v="4"/>
          </reference>
        </references>
      </pivotArea>
    </format>
    <format dxfId="9">
      <pivotArea grandRow="1" outline="0" collapsedLevelsAreSubtotals="1" fieldPosition="0"/>
    </format>
    <format dxfId="10">
      <pivotArea outline="0" fieldPosition="0">
        <references count="1">
          <reference field="3" count="0" selected="0"/>
        </references>
      </pivotArea>
    </format>
  </formats>
  <chartFormats count="13">
    <chartFormat chart="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5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6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6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D752105A-FBF6-4A3D-AEFA-550A806DA319}" sourceName="Region">
  <pivotTables>
    <pivotTable tabId="3" name="PivotTable1"/>
    <pivotTable tabId="3" name="PivotTable2"/>
    <pivotTable tabId="3" name="PivotTable3"/>
  </pivotTables>
  <data>
    <tabular pivotCacheId="1075239901">
      <items count="4">
        <i x="0" s="1"/>
        <i x="1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744BFA1-29DD-444F-9B2B-2A31C5125D41}" sourceName="Category">
  <pivotTables>
    <pivotTable tabId="3" name="PivotTable1"/>
    <pivotTable tabId="3" name="PivotTable3"/>
    <pivotTable tabId="3" name="PivotTable2"/>
  </pivotTables>
  <data>
    <tabular pivotCacheId="1075239901">
      <items count="5">
        <i x="1" s="1"/>
        <i x="2"/>
        <i x="0" s="1"/>
        <i x="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AC532E80-8DBE-4B3A-944D-6F1BD58A741E}" sourceName="Customer Segment">
  <pivotTables>
    <pivotTable tabId="3" name="PivotTable3"/>
    <pivotTable tabId="3" name="PivotTable1"/>
    <pivotTable tabId="3" name="PivotTable2"/>
  </pivotTables>
  <data>
    <tabular pivotCacheId="107523990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5066FFC2-9597-4499-8C0F-A7F42C558D46}" cache="Slicer_Region" caption="Region" rowHeight="228600"/>
  <slicer name="Category" xr10:uid="{6925CA61-66EB-46FD-87A4-CFEDC55EDF20}" cache="Slicer_Category" caption="Category" rowHeight="228600"/>
  <slicer name="Customer Segment" xr10:uid="{E2F5B85E-D228-4073-970A-7C1C65644EF3}" cache="Slicer_Customer_Segment" caption="Customer Seg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A3B34-9207-400C-8ECF-8B2F879ABC92}" name="tblSales" displayName="tblSales" ref="A1:M1001" totalsRowShown="0" headerRowDxfId="6" headerRowBorderDxfId="4" tableBorderDxfId="5">
  <autoFilter ref="A1:M1001" xr:uid="{48DA3B34-9207-400C-8ECF-8B2F879ABC92}"/>
  <tableColumns count="13">
    <tableColumn id="1" xr3:uid="{065EFEF5-BD9D-49E0-85BA-C5983B203363}" name="Order ID"/>
    <tableColumn id="2" xr3:uid="{1FCF2AF4-F6FA-4E84-AEDC-0AD6891FFC78}" name="Order Date" dataDxfId="3"/>
    <tableColumn id="3" xr3:uid="{E10A66D1-BAE7-4AB9-BFBB-9C93B0BA5F67}" name="Region"/>
    <tableColumn id="4" xr3:uid="{730305FB-C2F4-424C-A525-2F91AF2DADB5}" name="Category"/>
    <tableColumn id="5" xr3:uid="{02902C3A-56BE-423B-BE3F-E2B418A72348}" name="Sub-Category"/>
    <tableColumn id="6" xr3:uid="{69E618DB-7733-4F36-AE51-F502D4CE4251}" name="Product Name"/>
    <tableColumn id="7" xr3:uid="{4C2C112B-6D47-418A-86F6-D0C07B2B3CCB}" name="Sales"/>
    <tableColumn id="8" xr3:uid="{68C1B9B0-80B8-48F4-AB6F-ED0E34817306}" name="Quantity"/>
    <tableColumn id="9" xr3:uid="{8793F1B7-E9DE-4F06-B225-7BE936038333}" name="Profit"/>
    <tableColumn id="10" xr3:uid="{D20E4669-EBDB-4695-AEA1-5FBED6B06CFD}" name="Customer Segment"/>
    <tableColumn id="11" xr3:uid="{B7236571-66C0-4FFB-A30E-6C3AC7196AB7}" name="Profit Margin" dataDxfId="2">
      <calculatedColumnFormula>tblSales[[#This Row],[Profit]]/tblSales[[#This Row],[Sales]]</calculatedColumnFormula>
    </tableColumn>
    <tableColumn id="12" xr3:uid="{AE842B56-F066-40DB-BE3C-F5730306528C}" name="Order Month" dataDxfId="1">
      <calculatedColumnFormula>TEXT(tblSales[[#This Row],[Order Date]],"mmm")</calculatedColumnFormula>
    </tableColumn>
    <tableColumn id="13" xr3:uid="{ADB71A31-F6CC-4A2F-A54A-143DF0CBEF68}" name="Order Year" dataDxfId="0">
      <calculatedColumnFormula>YEAR(tblSales[[#This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M1001"/>
    </sheetView>
  </sheetViews>
  <sheetFormatPr defaultRowHeight="15"/>
  <cols>
    <col min="1" max="1" width="10.7109375" bestFit="1" customWidth="1"/>
    <col min="2" max="2" width="13" bestFit="1" customWidth="1"/>
    <col min="3" max="3" width="9.28515625" bestFit="1" customWidth="1"/>
    <col min="4" max="4" width="15.140625" bestFit="1" customWidth="1"/>
    <col min="5" max="5" width="15" bestFit="1" customWidth="1"/>
    <col min="6" max="6" width="19.140625" bestFit="1" customWidth="1"/>
    <col min="8" max="8" width="11" bestFit="1" customWidth="1"/>
    <col min="10" max="10" width="20" bestFit="1" customWidth="1"/>
    <col min="11" max="11" width="15" bestFit="1" customWidth="1"/>
    <col min="12" max="12" width="14.85546875" bestFit="1" customWidth="1"/>
    <col min="13" max="13" width="12.85546875" bestFit="1" customWidth="1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s="1">
        <v>44664</v>
      </c>
      <c r="C2" t="s">
        <v>14</v>
      </c>
      <c r="D2" t="s">
        <v>15</v>
      </c>
      <c r="E2" t="s">
        <v>16</v>
      </c>
      <c r="F2" t="s">
        <v>17</v>
      </c>
      <c r="G2">
        <v>1902.41</v>
      </c>
      <c r="H2">
        <v>8</v>
      </c>
      <c r="I2">
        <v>379.84</v>
      </c>
      <c r="J2" t="s">
        <v>18</v>
      </c>
      <c r="K2" s="6">
        <f>tblSales[[#This Row],[Profit]]/tblSales[[#This Row],[Sales]]</f>
        <v>0.19966253331300821</v>
      </c>
      <c r="L2" t="str">
        <f>TEXT(tblSales[[#This Row],[Order Date]],"mmm")</f>
        <v>Apr</v>
      </c>
      <c r="M2">
        <f>YEAR(tblSales[[#This Row],[Order Date]])</f>
        <v>2022</v>
      </c>
    </row>
    <row r="3" spans="1:13">
      <c r="A3" t="s">
        <v>19</v>
      </c>
      <c r="B3" s="1">
        <v>44665</v>
      </c>
      <c r="C3" t="s">
        <v>20</v>
      </c>
      <c r="D3" t="s">
        <v>21</v>
      </c>
      <c r="E3" t="s">
        <v>22</v>
      </c>
      <c r="F3" t="s">
        <v>23</v>
      </c>
      <c r="G3">
        <v>328.87</v>
      </c>
      <c r="H3">
        <v>8</v>
      </c>
      <c r="I3">
        <v>43.88</v>
      </c>
      <c r="J3" t="s">
        <v>24</v>
      </c>
      <c r="K3" s="6">
        <f>tblSales[[#This Row],[Profit]]/tblSales[[#This Row],[Sales]]</f>
        <v>0.13342658193207044</v>
      </c>
      <c r="L3" t="str">
        <f>TEXT(tblSales[[#This Row],[Order Date]],"mmm")</f>
        <v>Apr</v>
      </c>
      <c r="M3">
        <f>YEAR(tblSales[[#This Row],[Order Date]])</f>
        <v>2022</v>
      </c>
    </row>
    <row r="4" spans="1:13">
      <c r="A4" t="s">
        <v>25</v>
      </c>
      <c r="B4" s="1">
        <v>44666</v>
      </c>
      <c r="C4" t="s">
        <v>20</v>
      </c>
      <c r="D4" t="s">
        <v>26</v>
      </c>
      <c r="E4" t="s">
        <v>27</v>
      </c>
      <c r="F4" t="s">
        <v>28</v>
      </c>
      <c r="G4">
        <v>60.76</v>
      </c>
      <c r="H4">
        <v>2</v>
      </c>
      <c r="I4">
        <v>14.01</v>
      </c>
      <c r="J4" t="s">
        <v>29</v>
      </c>
      <c r="K4" s="6">
        <f>tblSales[[#This Row],[Profit]]/tblSales[[#This Row],[Sales]]</f>
        <v>0.23057932850559579</v>
      </c>
      <c r="L4" t="str">
        <f>TEXT(tblSales[[#This Row],[Order Date]],"mmm")</f>
        <v>Apr</v>
      </c>
      <c r="M4">
        <f>YEAR(tblSales[[#This Row],[Order Date]])</f>
        <v>2022</v>
      </c>
    </row>
    <row r="5" spans="1:13">
      <c r="A5" t="s">
        <v>30</v>
      </c>
      <c r="B5" s="1">
        <v>44667</v>
      </c>
      <c r="C5" t="s">
        <v>20</v>
      </c>
      <c r="D5" t="s">
        <v>26</v>
      </c>
      <c r="E5" t="s">
        <v>27</v>
      </c>
      <c r="F5" t="s">
        <v>31</v>
      </c>
      <c r="G5">
        <v>21.54</v>
      </c>
      <c r="H5">
        <v>5</v>
      </c>
      <c r="I5">
        <v>4.4000000000000004</v>
      </c>
      <c r="J5" t="s">
        <v>29</v>
      </c>
      <c r="K5" s="6">
        <f>tblSales[[#This Row],[Profit]]/tblSales[[#This Row],[Sales]]</f>
        <v>0.20427112349117924</v>
      </c>
      <c r="L5" t="str">
        <f>TEXT(tblSales[[#This Row],[Order Date]],"mmm")</f>
        <v>Apr</v>
      </c>
      <c r="M5">
        <f>YEAR(tblSales[[#This Row],[Order Date]])</f>
        <v>2022</v>
      </c>
    </row>
    <row r="6" spans="1:13">
      <c r="A6" t="s">
        <v>32</v>
      </c>
      <c r="B6" s="1">
        <v>44668</v>
      </c>
      <c r="C6" t="s">
        <v>33</v>
      </c>
      <c r="D6" t="s">
        <v>26</v>
      </c>
      <c r="E6" t="s">
        <v>34</v>
      </c>
      <c r="F6" t="s">
        <v>35</v>
      </c>
      <c r="G6">
        <v>33.99</v>
      </c>
      <c r="H6">
        <v>9</v>
      </c>
      <c r="I6">
        <v>4.17</v>
      </c>
      <c r="J6" t="s">
        <v>24</v>
      </c>
      <c r="K6" s="6">
        <f>tblSales[[#This Row],[Profit]]/tblSales[[#This Row],[Sales]]</f>
        <v>0.12268314210061781</v>
      </c>
      <c r="L6" t="str">
        <f>TEXT(tblSales[[#This Row],[Order Date]],"mmm")</f>
        <v>Apr</v>
      </c>
      <c r="M6">
        <f>YEAR(tblSales[[#This Row],[Order Date]])</f>
        <v>2022</v>
      </c>
    </row>
    <row r="7" spans="1:13">
      <c r="A7" t="s">
        <v>36</v>
      </c>
      <c r="B7" s="1">
        <v>44669</v>
      </c>
      <c r="C7" t="s">
        <v>20</v>
      </c>
      <c r="D7" t="s">
        <v>15</v>
      </c>
      <c r="E7" t="s">
        <v>16</v>
      </c>
      <c r="F7" t="s">
        <v>37</v>
      </c>
      <c r="G7">
        <v>112.4</v>
      </c>
      <c r="H7">
        <v>3</v>
      </c>
      <c r="I7">
        <v>16.37</v>
      </c>
      <c r="J7" t="s">
        <v>24</v>
      </c>
      <c r="K7" s="6">
        <f>tblSales[[#This Row],[Profit]]/tblSales[[#This Row],[Sales]]</f>
        <v>0.14564056939501779</v>
      </c>
      <c r="L7" t="str">
        <f>TEXT(tblSales[[#This Row],[Order Date]],"mmm")</f>
        <v>Apr</v>
      </c>
      <c r="M7">
        <f>YEAR(tblSales[[#This Row],[Order Date]])</f>
        <v>2022</v>
      </c>
    </row>
    <row r="8" spans="1:13">
      <c r="A8" t="s">
        <v>38</v>
      </c>
      <c r="B8" s="1">
        <v>44670</v>
      </c>
      <c r="C8" t="s">
        <v>39</v>
      </c>
      <c r="D8" t="s">
        <v>40</v>
      </c>
      <c r="E8" t="s">
        <v>41</v>
      </c>
      <c r="F8" t="s">
        <v>42</v>
      </c>
      <c r="G8">
        <v>944.19</v>
      </c>
      <c r="H8">
        <v>5</v>
      </c>
      <c r="I8">
        <v>190.62</v>
      </c>
      <c r="J8" t="s">
        <v>18</v>
      </c>
      <c r="K8" s="6">
        <f>tblSales[[#This Row],[Profit]]/tblSales[[#This Row],[Sales]]</f>
        <v>0.20188733199885617</v>
      </c>
      <c r="L8" t="str">
        <f>TEXT(tblSales[[#This Row],[Order Date]],"mmm")</f>
        <v>Apr</v>
      </c>
      <c r="M8">
        <f>YEAR(tblSales[[#This Row],[Order Date]])</f>
        <v>2022</v>
      </c>
    </row>
    <row r="9" spans="1:13">
      <c r="A9" t="s">
        <v>43</v>
      </c>
      <c r="B9" s="1">
        <v>44671</v>
      </c>
      <c r="C9" t="s">
        <v>14</v>
      </c>
      <c r="D9" t="s">
        <v>40</v>
      </c>
      <c r="E9" t="s">
        <v>44</v>
      </c>
      <c r="F9" t="s">
        <v>45</v>
      </c>
      <c r="G9">
        <v>148.80000000000001</v>
      </c>
      <c r="H9">
        <v>4</v>
      </c>
      <c r="I9">
        <v>42.49</v>
      </c>
      <c r="J9" t="s">
        <v>29</v>
      </c>
      <c r="K9" s="6">
        <f>tblSales[[#This Row],[Profit]]/tblSales[[#This Row],[Sales]]</f>
        <v>0.28555107526881718</v>
      </c>
      <c r="L9" t="str">
        <f>TEXT(tblSales[[#This Row],[Order Date]],"mmm")</f>
        <v>Apr</v>
      </c>
      <c r="M9">
        <f>YEAR(tblSales[[#This Row],[Order Date]])</f>
        <v>2022</v>
      </c>
    </row>
    <row r="10" spans="1:13">
      <c r="A10" t="s">
        <v>46</v>
      </c>
      <c r="B10" s="1">
        <v>44672</v>
      </c>
      <c r="C10" t="s">
        <v>20</v>
      </c>
      <c r="D10" t="s">
        <v>26</v>
      </c>
      <c r="E10" t="s">
        <v>34</v>
      </c>
      <c r="F10" t="s">
        <v>47</v>
      </c>
      <c r="G10">
        <v>51.61</v>
      </c>
      <c r="H10">
        <v>2</v>
      </c>
      <c r="I10">
        <v>11.41</v>
      </c>
      <c r="J10" t="s">
        <v>29</v>
      </c>
      <c r="K10" s="6">
        <f>tblSales[[#This Row],[Profit]]/tblSales[[#This Row],[Sales]]</f>
        <v>0.22108118581670219</v>
      </c>
      <c r="L10" t="str">
        <f>TEXT(tblSales[[#This Row],[Order Date]],"mmm")</f>
        <v>Apr</v>
      </c>
      <c r="M10">
        <f>YEAR(tblSales[[#This Row],[Order Date]])</f>
        <v>2022</v>
      </c>
    </row>
    <row r="11" spans="1:13">
      <c r="A11" t="s">
        <v>48</v>
      </c>
      <c r="B11" s="1">
        <v>44673</v>
      </c>
      <c r="C11" t="s">
        <v>33</v>
      </c>
      <c r="D11" t="s">
        <v>26</v>
      </c>
      <c r="E11" t="s">
        <v>49</v>
      </c>
      <c r="F11" t="s">
        <v>50</v>
      </c>
      <c r="G11">
        <v>261.64</v>
      </c>
      <c r="H11">
        <v>8</v>
      </c>
      <c r="I11">
        <v>15.33</v>
      </c>
      <c r="J11" t="s">
        <v>29</v>
      </c>
      <c r="K11" s="6">
        <f>tblSales[[#This Row],[Profit]]/tblSales[[#This Row],[Sales]]</f>
        <v>5.8591958416144327E-2</v>
      </c>
      <c r="L11" t="str">
        <f>TEXT(tblSales[[#This Row],[Order Date]],"mmm")</f>
        <v>Apr</v>
      </c>
      <c r="M11">
        <f>YEAR(tblSales[[#This Row],[Order Date]])</f>
        <v>2022</v>
      </c>
    </row>
    <row r="12" spans="1:13">
      <c r="A12" t="s">
        <v>51</v>
      </c>
      <c r="B12" s="1">
        <v>44674</v>
      </c>
      <c r="C12" t="s">
        <v>39</v>
      </c>
      <c r="D12" t="s">
        <v>15</v>
      </c>
      <c r="E12" t="s">
        <v>52</v>
      </c>
      <c r="F12" t="s">
        <v>53</v>
      </c>
      <c r="G12">
        <v>532.38</v>
      </c>
      <c r="H12">
        <v>8</v>
      </c>
      <c r="I12">
        <v>127.15</v>
      </c>
      <c r="J12" t="s">
        <v>18</v>
      </c>
      <c r="K12" s="6">
        <f>tblSales[[#This Row],[Profit]]/tblSales[[#This Row],[Sales]]</f>
        <v>0.23883316428115256</v>
      </c>
      <c r="L12" t="str">
        <f>TEXT(tblSales[[#This Row],[Order Date]],"mmm")</f>
        <v>Apr</v>
      </c>
      <c r="M12">
        <f>YEAR(tblSales[[#This Row],[Order Date]])</f>
        <v>2022</v>
      </c>
    </row>
    <row r="13" spans="1:13">
      <c r="A13" t="s">
        <v>54</v>
      </c>
      <c r="B13" s="1">
        <v>44675</v>
      </c>
      <c r="C13" t="s">
        <v>20</v>
      </c>
      <c r="D13" t="s">
        <v>15</v>
      </c>
      <c r="E13" t="s">
        <v>16</v>
      </c>
      <c r="F13" t="s">
        <v>55</v>
      </c>
      <c r="G13">
        <v>1102.49</v>
      </c>
      <c r="H13">
        <v>6</v>
      </c>
      <c r="I13">
        <v>63.76</v>
      </c>
      <c r="J13" t="s">
        <v>24</v>
      </c>
      <c r="K13" s="6">
        <f>tblSales[[#This Row],[Profit]]/tblSales[[#This Row],[Sales]]</f>
        <v>5.7832724106341098E-2</v>
      </c>
      <c r="L13" t="str">
        <f>TEXT(tblSales[[#This Row],[Order Date]],"mmm")</f>
        <v>Apr</v>
      </c>
      <c r="M13">
        <f>YEAR(tblSales[[#This Row],[Order Date]])</f>
        <v>2022</v>
      </c>
    </row>
    <row r="14" spans="1:13">
      <c r="A14" t="s">
        <v>56</v>
      </c>
      <c r="B14" s="1">
        <v>44676</v>
      </c>
      <c r="C14" t="s">
        <v>39</v>
      </c>
      <c r="D14" t="s">
        <v>21</v>
      </c>
      <c r="E14" t="s">
        <v>57</v>
      </c>
      <c r="F14" t="s">
        <v>58</v>
      </c>
      <c r="G14">
        <v>1880.21</v>
      </c>
      <c r="H14">
        <v>4</v>
      </c>
      <c r="I14">
        <v>375.05</v>
      </c>
      <c r="J14" t="s">
        <v>24</v>
      </c>
      <c r="K14" s="6">
        <f>tblSales[[#This Row],[Profit]]/tblSales[[#This Row],[Sales]]</f>
        <v>0.199472399359646</v>
      </c>
      <c r="L14" t="str">
        <f>TEXT(tblSales[[#This Row],[Order Date]],"mmm")</f>
        <v>Apr</v>
      </c>
      <c r="M14">
        <f>YEAR(tblSales[[#This Row],[Order Date]])</f>
        <v>2022</v>
      </c>
    </row>
    <row r="15" spans="1:13">
      <c r="A15" t="s">
        <v>59</v>
      </c>
      <c r="B15" s="1">
        <v>44677</v>
      </c>
      <c r="C15" t="s">
        <v>33</v>
      </c>
      <c r="D15" t="s">
        <v>15</v>
      </c>
      <c r="E15" t="s">
        <v>60</v>
      </c>
      <c r="F15" t="s">
        <v>61</v>
      </c>
      <c r="G15">
        <v>664.15</v>
      </c>
      <c r="H15">
        <v>2</v>
      </c>
      <c r="I15">
        <v>122.82</v>
      </c>
      <c r="J15" t="s">
        <v>18</v>
      </c>
      <c r="K15" s="6">
        <f>tblSales[[#This Row],[Profit]]/tblSales[[#This Row],[Sales]]</f>
        <v>0.18492810359105624</v>
      </c>
      <c r="L15" t="str">
        <f>TEXT(tblSales[[#This Row],[Order Date]],"mmm")</f>
        <v>Apr</v>
      </c>
      <c r="M15">
        <f>YEAR(tblSales[[#This Row],[Order Date]])</f>
        <v>2022</v>
      </c>
    </row>
    <row r="16" spans="1:13">
      <c r="A16" t="s">
        <v>62</v>
      </c>
      <c r="B16" s="1">
        <v>44678</v>
      </c>
      <c r="C16" t="s">
        <v>39</v>
      </c>
      <c r="D16" t="s">
        <v>26</v>
      </c>
      <c r="E16" t="s">
        <v>27</v>
      </c>
      <c r="F16" t="s">
        <v>63</v>
      </c>
      <c r="G16">
        <v>1094.54</v>
      </c>
      <c r="H16">
        <v>9</v>
      </c>
      <c r="I16">
        <v>135.80000000000001</v>
      </c>
      <c r="J16" t="s">
        <v>18</v>
      </c>
      <c r="K16" s="6">
        <f>tblSales[[#This Row],[Profit]]/tblSales[[#This Row],[Sales]]</f>
        <v>0.12407038573281928</v>
      </c>
      <c r="L16" t="str">
        <f>TEXT(tblSales[[#This Row],[Order Date]],"mmm")</f>
        <v>Apr</v>
      </c>
      <c r="M16">
        <f>YEAR(tblSales[[#This Row],[Order Date]])</f>
        <v>2022</v>
      </c>
    </row>
    <row r="17" spans="1:13">
      <c r="A17" t="s">
        <v>64</v>
      </c>
      <c r="B17" s="1">
        <v>44679</v>
      </c>
      <c r="C17" t="s">
        <v>33</v>
      </c>
      <c r="D17" t="s">
        <v>40</v>
      </c>
      <c r="E17" t="s">
        <v>41</v>
      </c>
      <c r="F17" t="s">
        <v>65</v>
      </c>
      <c r="G17">
        <v>1974.04</v>
      </c>
      <c r="H17">
        <v>8</v>
      </c>
      <c r="I17">
        <v>293.58</v>
      </c>
      <c r="J17" t="s">
        <v>18</v>
      </c>
      <c r="K17" s="6">
        <f>tblSales[[#This Row],[Profit]]/tblSales[[#This Row],[Sales]]</f>
        <v>0.14872039067090839</v>
      </c>
      <c r="L17" t="str">
        <f>TEXT(tblSales[[#This Row],[Order Date]],"mmm")</f>
        <v>Apr</v>
      </c>
      <c r="M17">
        <f>YEAR(tblSales[[#This Row],[Order Date]])</f>
        <v>2022</v>
      </c>
    </row>
    <row r="18" spans="1:13">
      <c r="A18" t="s">
        <v>66</v>
      </c>
      <c r="B18" s="1">
        <v>44680</v>
      </c>
      <c r="C18" t="s">
        <v>14</v>
      </c>
      <c r="D18" t="s">
        <v>15</v>
      </c>
      <c r="E18" t="s">
        <v>52</v>
      </c>
      <c r="F18" t="s">
        <v>67</v>
      </c>
      <c r="G18">
        <v>1634.61</v>
      </c>
      <c r="H18">
        <v>1</v>
      </c>
      <c r="I18">
        <v>372.42</v>
      </c>
      <c r="J18" t="s">
        <v>18</v>
      </c>
      <c r="K18" s="6">
        <f>tblSales[[#This Row],[Profit]]/tblSales[[#This Row],[Sales]]</f>
        <v>0.22783416227724046</v>
      </c>
      <c r="L18" t="str">
        <f>TEXT(tblSales[[#This Row],[Order Date]],"mmm")</f>
        <v>Apr</v>
      </c>
      <c r="M18">
        <f>YEAR(tblSales[[#This Row],[Order Date]])</f>
        <v>2022</v>
      </c>
    </row>
    <row r="19" spans="1:13">
      <c r="A19" t="s">
        <v>68</v>
      </c>
      <c r="B19" s="1">
        <v>44681</v>
      </c>
      <c r="C19" t="s">
        <v>33</v>
      </c>
      <c r="D19" t="s">
        <v>40</v>
      </c>
      <c r="E19" t="s">
        <v>44</v>
      </c>
      <c r="F19" t="s">
        <v>69</v>
      </c>
      <c r="G19">
        <v>1219.8</v>
      </c>
      <c r="H19">
        <v>7</v>
      </c>
      <c r="I19">
        <v>259.54000000000002</v>
      </c>
      <c r="J19" t="s">
        <v>18</v>
      </c>
      <c r="K19" s="6">
        <f>tblSales[[#This Row],[Profit]]/tblSales[[#This Row],[Sales]]</f>
        <v>0.21277258566978197</v>
      </c>
      <c r="L19" t="str">
        <f>TEXT(tblSales[[#This Row],[Order Date]],"mmm")</f>
        <v>Apr</v>
      </c>
      <c r="M19">
        <f>YEAR(tblSales[[#This Row],[Order Date]])</f>
        <v>2022</v>
      </c>
    </row>
    <row r="20" spans="1:13">
      <c r="A20" t="s">
        <v>70</v>
      </c>
      <c r="B20" s="1">
        <v>44682</v>
      </c>
      <c r="C20" t="s">
        <v>14</v>
      </c>
      <c r="D20" t="s">
        <v>40</v>
      </c>
      <c r="E20" t="s">
        <v>44</v>
      </c>
      <c r="F20" t="s">
        <v>71</v>
      </c>
      <c r="G20">
        <v>1703.08</v>
      </c>
      <c r="H20">
        <v>2</v>
      </c>
      <c r="I20">
        <v>125.78</v>
      </c>
      <c r="J20" t="s">
        <v>18</v>
      </c>
      <c r="K20" s="6">
        <f>tblSales[[#This Row],[Profit]]/tblSales[[#This Row],[Sales]]</f>
        <v>7.3854428447283751E-2</v>
      </c>
      <c r="L20" t="str">
        <f>TEXT(tblSales[[#This Row],[Order Date]],"mmm")</f>
        <v>May</v>
      </c>
      <c r="M20">
        <f>YEAR(tblSales[[#This Row],[Order Date]])</f>
        <v>2022</v>
      </c>
    </row>
    <row r="21" spans="1:13">
      <c r="A21" t="s">
        <v>72</v>
      </c>
      <c r="B21" s="1">
        <v>44683</v>
      </c>
      <c r="C21" t="s">
        <v>39</v>
      </c>
      <c r="D21" t="s">
        <v>73</v>
      </c>
      <c r="E21" t="s">
        <v>74</v>
      </c>
      <c r="F21" t="s">
        <v>75</v>
      </c>
      <c r="G21">
        <v>1344.31</v>
      </c>
      <c r="H21">
        <v>5</v>
      </c>
      <c r="I21">
        <v>312.42</v>
      </c>
      <c r="J21" t="s">
        <v>29</v>
      </c>
      <c r="K21" s="6">
        <f>tblSales[[#This Row],[Profit]]/tblSales[[#This Row],[Sales]]</f>
        <v>0.23240175257195142</v>
      </c>
      <c r="L21" t="str">
        <f>TEXT(tblSales[[#This Row],[Order Date]],"mmm")</f>
        <v>May</v>
      </c>
      <c r="M21">
        <f>YEAR(tblSales[[#This Row],[Order Date]])</f>
        <v>2022</v>
      </c>
    </row>
    <row r="22" spans="1:13">
      <c r="A22" t="s">
        <v>76</v>
      </c>
      <c r="B22" s="1">
        <v>44684</v>
      </c>
      <c r="C22" t="s">
        <v>39</v>
      </c>
      <c r="D22" t="s">
        <v>21</v>
      </c>
      <c r="E22" t="s">
        <v>22</v>
      </c>
      <c r="F22" t="s">
        <v>77</v>
      </c>
      <c r="G22">
        <v>954.99</v>
      </c>
      <c r="H22">
        <v>5</v>
      </c>
      <c r="I22">
        <v>279.74</v>
      </c>
      <c r="J22" t="s">
        <v>29</v>
      </c>
      <c r="K22" s="6">
        <f>tblSales[[#This Row],[Profit]]/tblSales[[#This Row],[Sales]]</f>
        <v>0.29292453324118578</v>
      </c>
      <c r="L22" t="str">
        <f>TEXT(tblSales[[#This Row],[Order Date]],"mmm")</f>
        <v>May</v>
      </c>
      <c r="M22">
        <f>YEAR(tblSales[[#This Row],[Order Date]])</f>
        <v>2022</v>
      </c>
    </row>
    <row r="23" spans="1:13">
      <c r="A23" t="s">
        <v>78</v>
      </c>
      <c r="B23" s="1">
        <v>44685</v>
      </c>
      <c r="C23" t="s">
        <v>14</v>
      </c>
      <c r="D23" t="s">
        <v>15</v>
      </c>
      <c r="E23" t="s">
        <v>79</v>
      </c>
      <c r="F23" t="s">
        <v>80</v>
      </c>
      <c r="G23">
        <v>1449.02</v>
      </c>
      <c r="H23">
        <v>7</v>
      </c>
      <c r="I23">
        <v>351.74</v>
      </c>
      <c r="J23" t="s">
        <v>18</v>
      </c>
      <c r="K23" s="6">
        <f>tblSales[[#This Row],[Profit]]/tblSales[[#This Row],[Sales]]</f>
        <v>0.24274337138203753</v>
      </c>
      <c r="L23" t="str">
        <f>TEXT(tblSales[[#This Row],[Order Date]],"mmm")</f>
        <v>May</v>
      </c>
      <c r="M23">
        <f>YEAR(tblSales[[#This Row],[Order Date]])</f>
        <v>2022</v>
      </c>
    </row>
    <row r="24" spans="1:13">
      <c r="A24" t="s">
        <v>81</v>
      </c>
      <c r="B24" s="1">
        <v>44686</v>
      </c>
      <c r="C24" t="s">
        <v>39</v>
      </c>
      <c r="D24" t="s">
        <v>40</v>
      </c>
      <c r="E24" t="s">
        <v>41</v>
      </c>
      <c r="F24" t="s">
        <v>82</v>
      </c>
      <c r="G24">
        <v>239.56</v>
      </c>
      <c r="H24">
        <v>3</v>
      </c>
      <c r="I24">
        <v>13.86</v>
      </c>
      <c r="J24" t="s">
        <v>18</v>
      </c>
      <c r="K24" s="6">
        <f>tblSales[[#This Row],[Profit]]/tblSales[[#This Row],[Sales]]</f>
        <v>5.7856069460677909E-2</v>
      </c>
      <c r="L24" t="str">
        <f>TEXT(tblSales[[#This Row],[Order Date]],"mmm")</f>
        <v>May</v>
      </c>
      <c r="M24">
        <f>YEAR(tblSales[[#This Row],[Order Date]])</f>
        <v>2022</v>
      </c>
    </row>
    <row r="25" spans="1:13">
      <c r="A25" t="s">
        <v>83</v>
      </c>
      <c r="B25" s="1">
        <v>44687</v>
      </c>
      <c r="C25" t="s">
        <v>20</v>
      </c>
      <c r="D25" t="s">
        <v>73</v>
      </c>
      <c r="E25" t="s">
        <v>84</v>
      </c>
      <c r="F25" t="s">
        <v>85</v>
      </c>
      <c r="G25">
        <v>1135.29</v>
      </c>
      <c r="H25">
        <v>4</v>
      </c>
      <c r="I25">
        <v>314.35000000000002</v>
      </c>
      <c r="J25" t="s">
        <v>24</v>
      </c>
      <c r="K25" s="6">
        <f>tblSales[[#This Row],[Profit]]/tblSales[[#This Row],[Sales]]</f>
        <v>0.27688960529908663</v>
      </c>
      <c r="L25" t="str">
        <f>TEXT(tblSales[[#This Row],[Order Date]],"mmm")</f>
        <v>May</v>
      </c>
      <c r="M25">
        <f>YEAR(tblSales[[#This Row],[Order Date]])</f>
        <v>2022</v>
      </c>
    </row>
    <row r="26" spans="1:13">
      <c r="A26" t="s">
        <v>86</v>
      </c>
      <c r="B26" s="1">
        <v>44688</v>
      </c>
      <c r="C26" t="s">
        <v>33</v>
      </c>
      <c r="D26" t="s">
        <v>15</v>
      </c>
      <c r="E26" t="s">
        <v>52</v>
      </c>
      <c r="F26" t="s">
        <v>87</v>
      </c>
      <c r="G26">
        <v>1515.99</v>
      </c>
      <c r="H26">
        <v>4</v>
      </c>
      <c r="I26">
        <v>433.14</v>
      </c>
      <c r="J26" t="s">
        <v>29</v>
      </c>
      <c r="K26" s="6">
        <f>tblSales[[#This Row],[Profit]]/tblSales[[#This Row],[Sales]]</f>
        <v>0.2857142857142857</v>
      </c>
      <c r="L26" t="str">
        <f>TEXT(tblSales[[#This Row],[Order Date]],"mmm")</f>
        <v>May</v>
      </c>
      <c r="M26">
        <f>YEAR(tblSales[[#This Row],[Order Date]])</f>
        <v>2022</v>
      </c>
    </row>
    <row r="27" spans="1:13">
      <c r="A27" t="s">
        <v>88</v>
      </c>
      <c r="B27" s="1">
        <v>44689</v>
      </c>
      <c r="C27" t="s">
        <v>39</v>
      </c>
      <c r="D27" t="s">
        <v>21</v>
      </c>
      <c r="E27" t="s">
        <v>89</v>
      </c>
      <c r="F27" t="s">
        <v>90</v>
      </c>
      <c r="G27">
        <v>1763.33</v>
      </c>
      <c r="H27">
        <v>9</v>
      </c>
      <c r="I27">
        <v>134.66999999999999</v>
      </c>
      <c r="J27" t="s">
        <v>29</v>
      </c>
      <c r="K27" s="6">
        <f>tblSales[[#This Row],[Profit]]/tblSales[[#This Row],[Sales]]</f>
        <v>7.6372545127684544E-2</v>
      </c>
      <c r="L27" t="str">
        <f>TEXT(tblSales[[#This Row],[Order Date]],"mmm")</f>
        <v>May</v>
      </c>
      <c r="M27">
        <f>YEAR(tblSales[[#This Row],[Order Date]])</f>
        <v>2022</v>
      </c>
    </row>
    <row r="28" spans="1:13">
      <c r="A28" t="s">
        <v>91</v>
      </c>
      <c r="B28" s="1">
        <v>44690</v>
      </c>
      <c r="C28" t="s">
        <v>14</v>
      </c>
      <c r="D28" t="s">
        <v>40</v>
      </c>
      <c r="E28" t="s">
        <v>92</v>
      </c>
      <c r="F28" t="s">
        <v>93</v>
      </c>
      <c r="G28">
        <v>389.41</v>
      </c>
      <c r="H28">
        <v>7</v>
      </c>
      <c r="I28">
        <v>106.71</v>
      </c>
      <c r="J28" t="s">
        <v>18</v>
      </c>
      <c r="K28" s="6">
        <f>tblSales[[#This Row],[Profit]]/tblSales[[#This Row],[Sales]]</f>
        <v>0.27402994273387943</v>
      </c>
      <c r="L28" t="str">
        <f>TEXT(tblSales[[#This Row],[Order Date]],"mmm")</f>
        <v>May</v>
      </c>
      <c r="M28">
        <f>YEAR(tblSales[[#This Row],[Order Date]])</f>
        <v>2022</v>
      </c>
    </row>
    <row r="29" spans="1:13">
      <c r="A29" t="s">
        <v>94</v>
      </c>
      <c r="B29" s="1">
        <v>44691</v>
      </c>
      <c r="C29" t="s">
        <v>14</v>
      </c>
      <c r="D29" t="s">
        <v>15</v>
      </c>
      <c r="E29" t="s">
        <v>16</v>
      </c>
      <c r="F29" t="s">
        <v>95</v>
      </c>
      <c r="G29">
        <v>237.9</v>
      </c>
      <c r="H29">
        <v>9</v>
      </c>
      <c r="I29">
        <v>50.42</v>
      </c>
      <c r="J29" t="s">
        <v>24</v>
      </c>
      <c r="K29" s="6">
        <f>tblSales[[#This Row],[Profit]]/tblSales[[#This Row],[Sales]]</f>
        <v>0.21193778898696933</v>
      </c>
      <c r="L29" t="str">
        <f>TEXT(tblSales[[#This Row],[Order Date]],"mmm")</f>
        <v>May</v>
      </c>
      <c r="M29">
        <f>YEAR(tblSales[[#This Row],[Order Date]])</f>
        <v>2022</v>
      </c>
    </row>
    <row r="30" spans="1:13">
      <c r="A30" t="s">
        <v>96</v>
      </c>
      <c r="B30" s="1">
        <v>44692</v>
      </c>
      <c r="C30" t="s">
        <v>20</v>
      </c>
      <c r="D30" t="s">
        <v>21</v>
      </c>
      <c r="E30" t="s">
        <v>89</v>
      </c>
      <c r="F30" t="s">
        <v>97</v>
      </c>
      <c r="G30">
        <v>718.09</v>
      </c>
      <c r="H30">
        <v>3</v>
      </c>
      <c r="I30">
        <v>37.15</v>
      </c>
      <c r="J30" t="s">
        <v>18</v>
      </c>
      <c r="K30" s="6">
        <f>tblSales[[#This Row],[Profit]]/tblSales[[#This Row],[Sales]]</f>
        <v>5.1734462254035003E-2</v>
      </c>
      <c r="L30" t="str">
        <f>TEXT(tblSales[[#This Row],[Order Date]],"mmm")</f>
        <v>May</v>
      </c>
      <c r="M30">
        <f>YEAR(tblSales[[#This Row],[Order Date]])</f>
        <v>2022</v>
      </c>
    </row>
    <row r="31" spans="1:13">
      <c r="A31" t="s">
        <v>98</v>
      </c>
      <c r="B31" s="1">
        <v>44693</v>
      </c>
      <c r="C31" t="s">
        <v>20</v>
      </c>
      <c r="D31" t="s">
        <v>15</v>
      </c>
      <c r="E31" t="s">
        <v>60</v>
      </c>
      <c r="F31" t="s">
        <v>99</v>
      </c>
      <c r="G31">
        <v>846.47</v>
      </c>
      <c r="H31">
        <v>5</v>
      </c>
      <c r="I31">
        <v>188.86</v>
      </c>
      <c r="J31" t="s">
        <v>29</v>
      </c>
      <c r="K31" s="6">
        <f>tblSales[[#This Row],[Profit]]/tblSales[[#This Row],[Sales]]</f>
        <v>0.22311481800890759</v>
      </c>
      <c r="L31" t="str">
        <f>TEXT(tblSales[[#This Row],[Order Date]],"mmm")</f>
        <v>May</v>
      </c>
      <c r="M31">
        <f>YEAR(tblSales[[#This Row],[Order Date]])</f>
        <v>2022</v>
      </c>
    </row>
    <row r="32" spans="1:13">
      <c r="A32" t="s">
        <v>100</v>
      </c>
      <c r="B32" s="1">
        <v>44694</v>
      </c>
      <c r="C32" t="s">
        <v>39</v>
      </c>
      <c r="D32" t="s">
        <v>73</v>
      </c>
      <c r="E32" t="s">
        <v>84</v>
      </c>
      <c r="F32" t="s">
        <v>101</v>
      </c>
      <c r="G32">
        <v>503.37</v>
      </c>
      <c r="H32">
        <v>6</v>
      </c>
      <c r="I32">
        <v>52.7</v>
      </c>
      <c r="J32" t="s">
        <v>29</v>
      </c>
      <c r="K32" s="6">
        <f>tblSales[[#This Row],[Profit]]/tblSales[[#This Row],[Sales]]</f>
        <v>0.10469436001350896</v>
      </c>
      <c r="L32" t="str">
        <f>TEXT(tblSales[[#This Row],[Order Date]],"mmm")</f>
        <v>May</v>
      </c>
      <c r="M32">
        <f>YEAR(tblSales[[#This Row],[Order Date]])</f>
        <v>2022</v>
      </c>
    </row>
    <row r="33" spans="1:13">
      <c r="A33" t="s">
        <v>102</v>
      </c>
      <c r="B33" s="1">
        <v>44695</v>
      </c>
      <c r="C33" t="s">
        <v>33</v>
      </c>
      <c r="D33" t="s">
        <v>15</v>
      </c>
      <c r="E33" t="s">
        <v>79</v>
      </c>
      <c r="F33" t="s">
        <v>103</v>
      </c>
      <c r="G33">
        <v>739.99</v>
      </c>
      <c r="H33">
        <v>1</v>
      </c>
      <c r="I33">
        <v>83.97</v>
      </c>
      <c r="J33" t="s">
        <v>18</v>
      </c>
      <c r="K33" s="6">
        <f>tblSales[[#This Row],[Profit]]/tblSales[[#This Row],[Sales]]</f>
        <v>0.11347450641224881</v>
      </c>
      <c r="L33" t="str">
        <f>TEXT(tblSales[[#This Row],[Order Date]],"mmm")</f>
        <v>May</v>
      </c>
      <c r="M33">
        <f>YEAR(tblSales[[#This Row],[Order Date]])</f>
        <v>2022</v>
      </c>
    </row>
    <row r="34" spans="1:13">
      <c r="A34" t="s">
        <v>104</v>
      </c>
      <c r="B34" s="1">
        <v>44696</v>
      </c>
      <c r="C34" t="s">
        <v>14</v>
      </c>
      <c r="D34" t="s">
        <v>21</v>
      </c>
      <c r="E34" t="s">
        <v>57</v>
      </c>
      <c r="F34" t="s">
        <v>105</v>
      </c>
      <c r="G34">
        <v>1004.55</v>
      </c>
      <c r="H34">
        <v>1</v>
      </c>
      <c r="I34">
        <v>87.42</v>
      </c>
      <c r="J34" t="s">
        <v>29</v>
      </c>
      <c r="K34" s="6">
        <f>tblSales[[#This Row],[Profit]]/tblSales[[#This Row],[Sales]]</f>
        <v>8.7024040615200846E-2</v>
      </c>
      <c r="L34" t="str">
        <f>TEXT(tblSales[[#This Row],[Order Date]],"mmm")</f>
        <v>May</v>
      </c>
      <c r="M34">
        <f>YEAR(tblSales[[#This Row],[Order Date]])</f>
        <v>2022</v>
      </c>
    </row>
    <row r="35" spans="1:13">
      <c r="A35" t="s">
        <v>106</v>
      </c>
      <c r="B35" s="1">
        <v>44697</v>
      </c>
      <c r="C35" t="s">
        <v>33</v>
      </c>
      <c r="D35" t="s">
        <v>40</v>
      </c>
      <c r="E35" t="s">
        <v>44</v>
      </c>
      <c r="F35" t="s">
        <v>107</v>
      </c>
      <c r="G35">
        <v>1226.94</v>
      </c>
      <c r="H35">
        <v>2</v>
      </c>
      <c r="I35">
        <v>187.43</v>
      </c>
      <c r="J35" t="s">
        <v>24</v>
      </c>
      <c r="K35" s="6">
        <f>tblSales[[#This Row],[Profit]]/tblSales[[#This Row],[Sales]]</f>
        <v>0.15276215625865974</v>
      </c>
      <c r="L35" t="str">
        <f>TEXT(tblSales[[#This Row],[Order Date]],"mmm")</f>
        <v>May</v>
      </c>
      <c r="M35">
        <f>YEAR(tblSales[[#This Row],[Order Date]])</f>
        <v>2022</v>
      </c>
    </row>
    <row r="36" spans="1:13">
      <c r="A36" t="s">
        <v>108</v>
      </c>
      <c r="B36" s="1">
        <v>44698</v>
      </c>
      <c r="C36" t="s">
        <v>33</v>
      </c>
      <c r="D36" t="s">
        <v>73</v>
      </c>
      <c r="E36" t="s">
        <v>84</v>
      </c>
      <c r="F36" t="s">
        <v>109</v>
      </c>
      <c r="G36">
        <v>494.33</v>
      </c>
      <c r="H36">
        <v>2</v>
      </c>
      <c r="I36">
        <v>90.33</v>
      </c>
      <c r="J36" t="s">
        <v>18</v>
      </c>
      <c r="K36" s="6">
        <f>tblSales[[#This Row],[Profit]]/tblSales[[#This Row],[Sales]]</f>
        <v>0.18273218295470636</v>
      </c>
      <c r="L36" t="str">
        <f>TEXT(tblSales[[#This Row],[Order Date]],"mmm")</f>
        <v>May</v>
      </c>
      <c r="M36">
        <f>YEAR(tblSales[[#This Row],[Order Date]])</f>
        <v>2022</v>
      </c>
    </row>
    <row r="37" spans="1:13">
      <c r="A37" t="s">
        <v>110</v>
      </c>
      <c r="B37" s="1">
        <v>44699</v>
      </c>
      <c r="C37" t="s">
        <v>14</v>
      </c>
      <c r="D37" t="s">
        <v>40</v>
      </c>
      <c r="E37" t="s">
        <v>92</v>
      </c>
      <c r="F37" t="s">
        <v>111</v>
      </c>
      <c r="G37">
        <v>1114.73</v>
      </c>
      <c r="H37">
        <v>7</v>
      </c>
      <c r="I37">
        <v>243.05</v>
      </c>
      <c r="J37" t="s">
        <v>29</v>
      </c>
      <c r="K37" s="6">
        <f>tblSales[[#This Row],[Profit]]/tblSales[[#This Row],[Sales]]</f>
        <v>0.21803486045948348</v>
      </c>
      <c r="L37" t="str">
        <f>TEXT(tblSales[[#This Row],[Order Date]],"mmm")</f>
        <v>May</v>
      </c>
      <c r="M37">
        <f>YEAR(tblSales[[#This Row],[Order Date]])</f>
        <v>2022</v>
      </c>
    </row>
    <row r="38" spans="1:13">
      <c r="A38" t="s">
        <v>112</v>
      </c>
      <c r="B38" s="1">
        <v>44700</v>
      </c>
      <c r="C38" t="s">
        <v>14</v>
      </c>
      <c r="D38" t="s">
        <v>15</v>
      </c>
      <c r="E38" t="s">
        <v>60</v>
      </c>
      <c r="F38" t="s">
        <v>113</v>
      </c>
      <c r="G38">
        <v>490.52</v>
      </c>
      <c r="H38">
        <v>6</v>
      </c>
      <c r="I38">
        <v>69.63</v>
      </c>
      <c r="J38" t="s">
        <v>18</v>
      </c>
      <c r="K38" s="6">
        <f>tblSales[[#This Row],[Profit]]/tblSales[[#This Row],[Sales]]</f>
        <v>0.14195139851586072</v>
      </c>
      <c r="L38" t="str">
        <f>TEXT(tblSales[[#This Row],[Order Date]],"mmm")</f>
        <v>May</v>
      </c>
      <c r="M38">
        <f>YEAR(tblSales[[#This Row],[Order Date]])</f>
        <v>2022</v>
      </c>
    </row>
    <row r="39" spans="1:13">
      <c r="A39" t="s">
        <v>114</v>
      </c>
      <c r="B39" s="1">
        <v>44701</v>
      </c>
      <c r="C39" t="s">
        <v>20</v>
      </c>
      <c r="D39" t="s">
        <v>26</v>
      </c>
      <c r="E39" t="s">
        <v>49</v>
      </c>
      <c r="F39" t="s">
        <v>115</v>
      </c>
      <c r="G39">
        <v>809.67</v>
      </c>
      <c r="H39">
        <v>1</v>
      </c>
      <c r="I39">
        <v>70.989999999999995</v>
      </c>
      <c r="J39" t="s">
        <v>29</v>
      </c>
      <c r="K39" s="6">
        <f>tblSales[[#This Row],[Profit]]/tblSales[[#This Row],[Sales]]</f>
        <v>8.7677695851396245E-2</v>
      </c>
      <c r="L39" t="str">
        <f>TEXT(tblSales[[#This Row],[Order Date]],"mmm")</f>
        <v>May</v>
      </c>
      <c r="M39">
        <f>YEAR(tblSales[[#This Row],[Order Date]])</f>
        <v>2022</v>
      </c>
    </row>
    <row r="40" spans="1:13">
      <c r="A40" t="s">
        <v>116</v>
      </c>
      <c r="B40" s="1">
        <v>44702</v>
      </c>
      <c r="C40" t="s">
        <v>14</v>
      </c>
      <c r="D40" t="s">
        <v>15</v>
      </c>
      <c r="E40" t="s">
        <v>52</v>
      </c>
      <c r="F40" t="s">
        <v>117</v>
      </c>
      <c r="G40">
        <v>1397.71</v>
      </c>
      <c r="H40">
        <v>3</v>
      </c>
      <c r="I40">
        <v>276.36</v>
      </c>
      <c r="J40" t="s">
        <v>24</v>
      </c>
      <c r="K40" s="6">
        <f>tblSales[[#This Row],[Profit]]/tblSales[[#This Row],[Sales]]</f>
        <v>0.19772341902111312</v>
      </c>
      <c r="L40" t="str">
        <f>TEXT(tblSales[[#This Row],[Order Date]],"mmm")</f>
        <v>May</v>
      </c>
      <c r="M40">
        <f>YEAR(tblSales[[#This Row],[Order Date]])</f>
        <v>2022</v>
      </c>
    </row>
    <row r="41" spans="1:13">
      <c r="A41" t="s">
        <v>118</v>
      </c>
      <c r="B41" s="1">
        <v>44703</v>
      </c>
      <c r="C41" t="s">
        <v>33</v>
      </c>
      <c r="D41" t="s">
        <v>40</v>
      </c>
      <c r="E41" t="s">
        <v>41</v>
      </c>
      <c r="F41" t="s">
        <v>119</v>
      </c>
      <c r="G41">
        <v>1033.94</v>
      </c>
      <c r="H41">
        <v>3</v>
      </c>
      <c r="I41">
        <v>141.82</v>
      </c>
      <c r="J41" t="s">
        <v>18</v>
      </c>
      <c r="K41" s="6">
        <f>tblSales[[#This Row],[Profit]]/tblSales[[#This Row],[Sales]]</f>
        <v>0.13716463237712051</v>
      </c>
      <c r="L41" t="str">
        <f>TEXT(tblSales[[#This Row],[Order Date]],"mmm")</f>
        <v>May</v>
      </c>
      <c r="M41">
        <f>YEAR(tblSales[[#This Row],[Order Date]])</f>
        <v>2022</v>
      </c>
    </row>
    <row r="42" spans="1:13">
      <c r="A42" t="s">
        <v>120</v>
      </c>
      <c r="B42" s="1">
        <v>44704</v>
      </c>
      <c r="C42" t="s">
        <v>39</v>
      </c>
      <c r="D42" t="s">
        <v>15</v>
      </c>
      <c r="E42" t="s">
        <v>16</v>
      </c>
      <c r="F42" t="s">
        <v>121</v>
      </c>
      <c r="G42">
        <v>1882.24</v>
      </c>
      <c r="H42">
        <v>8</v>
      </c>
      <c r="I42">
        <v>276.08999999999997</v>
      </c>
      <c r="J42" t="s">
        <v>24</v>
      </c>
      <c r="K42" s="6">
        <f>tblSales[[#This Row],[Profit]]/tblSales[[#This Row],[Sales]]</f>
        <v>0.1466816133968038</v>
      </c>
      <c r="L42" t="str">
        <f>TEXT(tblSales[[#This Row],[Order Date]],"mmm")</f>
        <v>May</v>
      </c>
      <c r="M42">
        <f>YEAR(tblSales[[#This Row],[Order Date]])</f>
        <v>2022</v>
      </c>
    </row>
    <row r="43" spans="1:13">
      <c r="A43" t="s">
        <v>122</v>
      </c>
      <c r="B43" s="1">
        <v>44705</v>
      </c>
      <c r="C43" t="s">
        <v>39</v>
      </c>
      <c r="D43" t="s">
        <v>73</v>
      </c>
      <c r="E43" t="s">
        <v>74</v>
      </c>
      <c r="F43" t="s">
        <v>123</v>
      </c>
      <c r="G43">
        <v>292.29000000000002</v>
      </c>
      <c r="H43">
        <v>9</v>
      </c>
      <c r="I43">
        <v>22.91</v>
      </c>
      <c r="J43" t="s">
        <v>24</v>
      </c>
      <c r="K43" s="6">
        <f>tblSales[[#This Row],[Profit]]/tblSales[[#This Row],[Sales]]</f>
        <v>7.8381059906257475E-2</v>
      </c>
      <c r="L43" t="str">
        <f>TEXT(tblSales[[#This Row],[Order Date]],"mmm")</f>
        <v>May</v>
      </c>
      <c r="M43">
        <f>YEAR(tblSales[[#This Row],[Order Date]])</f>
        <v>2022</v>
      </c>
    </row>
    <row r="44" spans="1:13">
      <c r="A44" t="s">
        <v>124</v>
      </c>
      <c r="B44" s="1">
        <v>44706</v>
      </c>
      <c r="C44" t="s">
        <v>33</v>
      </c>
      <c r="D44" t="s">
        <v>40</v>
      </c>
      <c r="E44" t="s">
        <v>92</v>
      </c>
      <c r="F44" t="s">
        <v>125</v>
      </c>
      <c r="G44">
        <v>1757.13</v>
      </c>
      <c r="H44">
        <v>3</v>
      </c>
      <c r="I44">
        <v>188.25</v>
      </c>
      <c r="J44" t="s">
        <v>18</v>
      </c>
      <c r="K44" s="6">
        <f>tblSales[[#This Row],[Profit]]/tblSales[[#This Row],[Sales]]</f>
        <v>0.10713493025558724</v>
      </c>
      <c r="L44" t="str">
        <f>TEXT(tblSales[[#This Row],[Order Date]],"mmm")</f>
        <v>May</v>
      </c>
      <c r="M44">
        <f>YEAR(tblSales[[#This Row],[Order Date]])</f>
        <v>2022</v>
      </c>
    </row>
    <row r="45" spans="1:13">
      <c r="A45" t="s">
        <v>126</v>
      </c>
      <c r="B45" s="1">
        <v>44707</v>
      </c>
      <c r="C45" t="s">
        <v>20</v>
      </c>
      <c r="D45" t="s">
        <v>26</v>
      </c>
      <c r="E45" t="s">
        <v>27</v>
      </c>
      <c r="F45" t="s">
        <v>127</v>
      </c>
      <c r="G45">
        <v>1964.69</v>
      </c>
      <c r="H45">
        <v>4</v>
      </c>
      <c r="I45">
        <v>358.38</v>
      </c>
      <c r="J45" t="s">
        <v>29</v>
      </c>
      <c r="K45" s="6">
        <f>tblSales[[#This Row],[Profit]]/tblSales[[#This Row],[Sales]]</f>
        <v>0.18241045661147559</v>
      </c>
      <c r="L45" t="str">
        <f>TEXT(tblSales[[#This Row],[Order Date]],"mmm")</f>
        <v>May</v>
      </c>
      <c r="M45">
        <f>YEAR(tblSales[[#This Row],[Order Date]])</f>
        <v>2022</v>
      </c>
    </row>
    <row r="46" spans="1:13">
      <c r="A46" t="s">
        <v>128</v>
      </c>
      <c r="B46" s="1">
        <v>44708</v>
      </c>
      <c r="C46" t="s">
        <v>33</v>
      </c>
      <c r="D46" t="s">
        <v>73</v>
      </c>
      <c r="E46" t="s">
        <v>84</v>
      </c>
      <c r="F46" t="s">
        <v>109</v>
      </c>
      <c r="G46">
        <v>204.34</v>
      </c>
      <c r="H46">
        <v>5</v>
      </c>
      <c r="I46">
        <v>56.21</v>
      </c>
      <c r="J46" t="s">
        <v>24</v>
      </c>
      <c r="K46" s="6">
        <f>tblSales[[#This Row],[Profit]]/tblSales[[#This Row],[Sales]]</f>
        <v>0.27508074777331898</v>
      </c>
      <c r="L46" t="str">
        <f>TEXT(tblSales[[#This Row],[Order Date]],"mmm")</f>
        <v>May</v>
      </c>
      <c r="M46">
        <f>YEAR(tblSales[[#This Row],[Order Date]])</f>
        <v>2022</v>
      </c>
    </row>
    <row r="47" spans="1:13">
      <c r="A47" t="s">
        <v>129</v>
      </c>
      <c r="B47" s="1">
        <v>44709</v>
      </c>
      <c r="C47" t="s">
        <v>33</v>
      </c>
      <c r="D47" t="s">
        <v>21</v>
      </c>
      <c r="E47" t="s">
        <v>57</v>
      </c>
      <c r="F47" t="s">
        <v>130</v>
      </c>
      <c r="G47">
        <v>1406.71</v>
      </c>
      <c r="H47">
        <v>3</v>
      </c>
      <c r="I47">
        <v>371.49</v>
      </c>
      <c r="J47" t="s">
        <v>18</v>
      </c>
      <c r="K47" s="6">
        <f>tblSales[[#This Row],[Profit]]/tblSales[[#This Row],[Sales]]</f>
        <v>0.26408428176383192</v>
      </c>
      <c r="L47" t="str">
        <f>TEXT(tblSales[[#This Row],[Order Date]],"mmm")</f>
        <v>May</v>
      </c>
      <c r="M47">
        <f>YEAR(tblSales[[#This Row],[Order Date]])</f>
        <v>2022</v>
      </c>
    </row>
    <row r="48" spans="1:13">
      <c r="A48" t="s">
        <v>131</v>
      </c>
      <c r="B48" s="1">
        <v>44710</v>
      </c>
      <c r="C48" t="s">
        <v>14</v>
      </c>
      <c r="D48" t="s">
        <v>26</v>
      </c>
      <c r="E48" t="s">
        <v>34</v>
      </c>
      <c r="F48" t="s">
        <v>132</v>
      </c>
      <c r="G48">
        <v>1777.78</v>
      </c>
      <c r="H48">
        <v>4</v>
      </c>
      <c r="I48">
        <v>126.28</v>
      </c>
      <c r="J48" t="s">
        <v>24</v>
      </c>
      <c r="K48" s="6">
        <f>tblSales[[#This Row],[Profit]]/tblSales[[#This Row],[Sales]]</f>
        <v>7.1032411209485988E-2</v>
      </c>
      <c r="L48" t="str">
        <f>TEXT(tblSales[[#This Row],[Order Date]],"mmm")</f>
        <v>May</v>
      </c>
      <c r="M48">
        <f>YEAR(tblSales[[#This Row],[Order Date]])</f>
        <v>2022</v>
      </c>
    </row>
    <row r="49" spans="1:13">
      <c r="A49" t="s">
        <v>133</v>
      </c>
      <c r="B49" s="1">
        <v>44711</v>
      </c>
      <c r="C49" t="s">
        <v>20</v>
      </c>
      <c r="D49" t="s">
        <v>73</v>
      </c>
      <c r="E49" t="s">
        <v>84</v>
      </c>
      <c r="F49" t="s">
        <v>134</v>
      </c>
      <c r="G49">
        <v>1344.6</v>
      </c>
      <c r="H49">
        <v>3</v>
      </c>
      <c r="I49">
        <v>192.37</v>
      </c>
      <c r="J49" t="s">
        <v>24</v>
      </c>
      <c r="K49" s="6">
        <f>tblSales[[#This Row],[Profit]]/tblSales[[#This Row],[Sales]]</f>
        <v>0.14306857057861075</v>
      </c>
      <c r="L49" t="str">
        <f>TEXT(tblSales[[#This Row],[Order Date]],"mmm")</f>
        <v>May</v>
      </c>
      <c r="M49">
        <f>YEAR(tblSales[[#This Row],[Order Date]])</f>
        <v>2022</v>
      </c>
    </row>
    <row r="50" spans="1:13">
      <c r="A50" t="s">
        <v>135</v>
      </c>
      <c r="B50" s="1">
        <v>44712</v>
      </c>
      <c r="C50" t="s">
        <v>20</v>
      </c>
      <c r="D50" t="s">
        <v>73</v>
      </c>
      <c r="E50" t="s">
        <v>84</v>
      </c>
      <c r="F50" t="s">
        <v>136</v>
      </c>
      <c r="G50">
        <v>1947.85</v>
      </c>
      <c r="H50">
        <v>2</v>
      </c>
      <c r="I50">
        <v>175.7</v>
      </c>
      <c r="J50" t="s">
        <v>18</v>
      </c>
      <c r="K50" s="6">
        <f>tblSales[[#This Row],[Profit]]/tblSales[[#This Row],[Sales]]</f>
        <v>9.0202017609158816E-2</v>
      </c>
      <c r="L50" t="str">
        <f>TEXT(tblSales[[#This Row],[Order Date]],"mmm")</f>
        <v>May</v>
      </c>
      <c r="M50">
        <f>YEAR(tblSales[[#This Row],[Order Date]])</f>
        <v>2022</v>
      </c>
    </row>
    <row r="51" spans="1:13">
      <c r="A51" t="s">
        <v>137</v>
      </c>
      <c r="B51" s="1">
        <v>44713</v>
      </c>
      <c r="C51" t="s">
        <v>33</v>
      </c>
      <c r="D51" t="s">
        <v>40</v>
      </c>
      <c r="E51" t="s">
        <v>44</v>
      </c>
      <c r="F51" t="s">
        <v>138</v>
      </c>
      <c r="G51">
        <v>1389.95</v>
      </c>
      <c r="H51">
        <v>9</v>
      </c>
      <c r="I51">
        <v>130.63</v>
      </c>
      <c r="J51" t="s">
        <v>29</v>
      </c>
      <c r="K51" s="6">
        <f>tblSales[[#This Row],[Profit]]/tblSales[[#This Row],[Sales]]</f>
        <v>9.3981797906399503E-2</v>
      </c>
      <c r="L51" t="str">
        <f>TEXT(tblSales[[#This Row],[Order Date]],"mmm")</f>
        <v>Jun</v>
      </c>
      <c r="M51">
        <f>YEAR(tblSales[[#This Row],[Order Date]])</f>
        <v>2022</v>
      </c>
    </row>
    <row r="52" spans="1:13">
      <c r="A52" t="s">
        <v>139</v>
      </c>
      <c r="B52" s="1">
        <v>44714</v>
      </c>
      <c r="C52" t="s">
        <v>14</v>
      </c>
      <c r="D52" t="s">
        <v>26</v>
      </c>
      <c r="E52" t="s">
        <v>27</v>
      </c>
      <c r="F52" t="s">
        <v>140</v>
      </c>
      <c r="G52">
        <v>997.91</v>
      </c>
      <c r="H52">
        <v>4</v>
      </c>
      <c r="I52">
        <v>141.32</v>
      </c>
      <c r="J52" t="s">
        <v>24</v>
      </c>
      <c r="K52" s="6">
        <f>tblSales[[#This Row],[Profit]]/tblSales[[#This Row],[Sales]]</f>
        <v>0.14161597739275084</v>
      </c>
      <c r="L52" t="str">
        <f>TEXT(tblSales[[#This Row],[Order Date]],"mmm")</f>
        <v>Jun</v>
      </c>
      <c r="M52">
        <f>YEAR(tblSales[[#This Row],[Order Date]])</f>
        <v>2022</v>
      </c>
    </row>
    <row r="53" spans="1:13">
      <c r="A53" t="s">
        <v>141</v>
      </c>
      <c r="B53" s="1">
        <v>44715</v>
      </c>
      <c r="C53" t="s">
        <v>14</v>
      </c>
      <c r="D53" t="s">
        <v>73</v>
      </c>
      <c r="E53" t="s">
        <v>74</v>
      </c>
      <c r="F53" t="s">
        <v>142</v>
      </c>
      <c r="G53">
        <v>1447.46</v>
      </c>
      <c r="H53">
        <v>1</v>
      </c>
      <c r="I53">
        <v>268.7</v>
      </c>
      <c r="J53" t="s">
        <v>29</v>
      </c>
      <c r="K53" s="6">
        <f>tblSales[[#This Row],[Profit]]/tblSales[[#This Row],[Sales]]</f>
        <v>0.18563552706119685</v>
      </c>
      <c r="L53" t="str">
        <f>TEXT(tblSales[[#This Row],[Order Date]],"mmm")</f>
        <v>Jun</v>
      </c>
      <c r="M53">
        <f>YEAR(tblSales[[#This Row],[Order Date]])</f>
        <v>2022</v>
      </c>
    </row>
    <row r="54" spans="1:13">
      <c r="A54" t="s">
        <v>143</v>
      </c>
      <c r="B54" s="1">
        <v>44716</v>
      </c>
      <c r="C54" t="s">
        <v>20</v>
      </c>
      <c r="D54" t="s">
        <v>26</v>
      </c>
      <c r="E54" t="s">
        <v>49</v>
      </c>
      <c r="F54" t="s">
        <v>144</v>
      </c>
      <c r="G54">
        <v>515.91</v>
      </c>
      <c r="H54">
        <v>6</v>
      </c>
      <c r="I54">
        <v>152.05000000000001</v>
      </c>
      <c r="J54" t="s">
        <v>18</v>
      </c>
      <c r="K54" s="6">
        <f>tblSales[[#This Row],[Profit]]/tblSales[[#This Row],[Sales]]</f>
        <v>0.29472194762652404</v>
      </c>
      <c r="L54" t="str">
        <f>TEXT(tblSales[[#This Row],[Order Date]],"mmm")</f>
        <v>Jun</v>
      </c>
      <c r="M54">
        <f>YEAR(tblSales[[#This Row],[Order Date]])</f>
        <v>2022</v>
      </c>
    </row>
    <row r="55" spans="1:13">
      <c r="A55" t="s">
        <v>145</v>
      </c>
      <c r="B55" s="1">
        <v>44717</v>
      </c>
      <c r="C55" t="s">
        <v>33</v>
      </c>
      <c r="D55" t="s">
        <v>21</v>
      </c>
      <c r="E55" t="s">
        <v>57</v>
      </c>
      <c r="F55" t="s">
        <v>146</v>
      </c>
      <c r="G55">
        <v>1814.08</v>
      </c>
      <c r="H55">
        <v>2</v>
      </c>
      <c r="I55">
        <v>249.47</v>
      </c>
      <c r="J55" t="s">
        <v>29</v>
      </c>
      <c r="K55" s="6">
        <f>tblSales[[#This Row],[Profit]]/tblSales[[#This Row],[Sales]]</f>
        <v>0.13751874228258953</v>
      </c>
      <c r="L55" t="str">
        <f>TEXT(tblSales[[#This Row],[Order Date]],"mmm")</f>
        <v>Jun</v>
      </c>
      <c r="M55">
        <f>YEAR(tblSales[[#This Row],[Order Date]])</f>
        <v>2022</v>
      </c>
    </row>
    <row r="56" spans="1:13">
      <c r="A56" t="s">
        <v>147</v>
      </c>
      <c r="B56" s="1">
        <v>44718</v>
      </c>
      <c r="C56" t="s">
        <v>14</v>
      </c>
      <c r="D56" t="s">
        <v>73</v>
      </c>
      <c r="E56" t="s">
        <v>74</v>
      </c>
      <c r="F56" t="s">
        <v>148</v>
      </c>
      <c r="G56">
        <v>1344.47</v>
      </c>
      <c r="H56">
        <v>1</v>
      </c>
      <c r="I56">
        <v>132.85</v>
      </c>
      <c r="J56" t="s">
        <v>24</v>
      </c>
      <c r="K56" s="6">
        <f>tblSales[[#This Row],[Profit]]/tblSales[[#This Row],[Sales]]</f>
        <v>9.8812171338891905E-2</v>
      </c>
      <c r="L56" t="str">
        <f>TEXT(tblSales[[#This Row],[Order Date]],"mmm")</f>
        <v>Jun</v>
      </c>
      <c r="M56">
        <f>YEAR(tblSales[[#This Row],[Order Date]])</f>
        <v>2022</v>
      </c>
    </row>
    <row r="57" spans="1:13">
      <c r="A57" t="s">
        <v>149</v>
      </c>
      <c r="B57" s="1">
        <v>44719</v>
      </c>
      <c r="C57" t="s">
        <v>20</v>
      </c>
      <c r="D57" t="s">
        <v>15</v>
      </c>
      <c r="E57" t="s">
        <v>79</v>
      </c>
      <c r="F57" t="s">
        <v>150</v>
      </c>
      <c r="G57">
        <v>68.150000000000006</v>
      </c>
      <c r="H57">
        <v>1</v>
      </c>
      <c r="I57">
        <v>4.1500000000000004</v>
      </c>
      <c r="J57" t="s">
        <v>29</v>
      </c>
      <c r="K57" s="6">
        <f>tblSales[[#This Row],[Profit]]/tblSales[[#This Row],[Sales]]</f>
        <v>6.0895084372707263E-2</v>
      </c>
      <c r="L57" t="str">
        <f>TEXT(tblSales[[#This Row],[Order Date]],"mmm")</f>
        <v>Jun</v>
      </c>
      <c r="M57">
        <f>YEAR(tblSales[[#This Row],[Order Date]])</f>
        <v>2022</v>
      </c>
    </row>
    <row r="58" spans="1:13">
      <c r="A58" t="s">
        <v>151</v>
      </c>
      <c r="B58" s="1">
        <v>44720</v>
      </c>
      <c r="C58" t="s">
        <v>33</v>
      </c>
      <c r="D58" t="s">
        <v>40</v>
      </c>
      <c r="E58" t="s">
        <v>44</v>
      </c>
      <c r="F58" t="s">
        <v>152</v>
      </c>
      <c r="G58">
        <v>1908.78</v>
      </c>
      <c r="H58">
        <v>5</v>
      </c>
      <c r="I58">
        <v>517.04</v>
      </c>
      <c r="J58" t="s">
        <v>29</v>
      </c>
      <c r="K58" s="6">
        <f>tblSales[[#This Row],[Profit]]/tblSales[[#This Row],[Sales]]</f>
        <v>0.2708745900522847</v>
      </c>
      <c r="L58" t="str">
        <f>TEXT(tblSales[[#This Row],[Order Date]],"mmm")</f>
        <v>Jun</v>
      </c>
      <c r="M58">
        <f>YEAR(tblSales[[#This Row],[Order Date]])</f>
        <v>2022</v>
      </c>
    </row>
    <row r="59" spans="1:13">
      <c r="A59" t="s">
        <v>153</v>
      </c>
      <c r="B59" s="1">
        <v>44721</v>
      </c>
      <c r="C59" t="s">
        <v>20</v>
      </c>
      <c r="D59" t="s">
        <v>21</v>
      </c>
      <c r="E59" t="s">
        <v>22</v>
      </c>
      <c r="F59" t="s">
        <v>154</v>
      </c>
      <c r="G59">
        <v>674.89</v>
      </c>
      <c r="H59">
        <v>5</v>
      </c>
      <c r="I59">
        <v>130.30000000000001</v>
      </c>
      <c r="J59" t="s">
        <v>18</v>
      </c>
      <c r="K59" s="6">
        <f>tblSales[[#This Row],[Profit]]/tblSales[[#This Row],[Sales]]</f>
        <v>0.19306850005186033</v>
      </c>
      <c r="L59" t="str">
        <f>TEXT(tblSales[[#This Row],[Order Date]],"mmm")</f>
        <v>Jun</v>
      </c>
      <c r="M59">
        <f>YEAR(tblSales[[#This Row],[Order Date]])</f>
        <v>2022</v>
      </c>
    </row>
    <row r="60" spans="1:13">
      <c r="A60" t="s">
        <v>155</v>
      </c>
      <c r="B60" s="1">
        <v>44722</v>
      </c>
      <c r="C60" t="s">
        <v>20</v>
      </c>
      <c r="D60" t="s">
        <v>15</v>
      </c>
      <c r="E60" t="s">
        <v>16</v>
      </c>
      <c r="F60" t="s">
        <v>156</v>
      </c>
      <c r="G60">
        <v>603.01</v>
      </c>
      <c r="H60">
        <v>5</v>
      </c>
      <c r="I60">
        <v>58.93</v>
      </c>
      <c r="J60" t="s">
        <v>18</v>
      </c>
      <c r="K60" s="6">
        <f>tblSales[[#This Row],[Profit]]/tblSales[[#This Row],[Sales]]</f>
        <v>9.7726405863916024E-2</v>
      </c>
      <c r="L60" t="str">
        <f>TEXT(tblSales[[#This Row],[Order Date]],"mmm")</f>
        <v>Jun</v>
      </c>
      <c r="M60">
        <f>YEAR(tblSales[[#This Row],[Order Date]])</f>
        <v>2022</v>
      </c>
    </row>
    <row r="61" spans="1:13">
      <c r="A61" t="s">
        <v>157</v>
      </c>
      <c r="B61" s="1">
        <v>44723</v>
      </c>
      <c r="C61" t="s">
        <v>33</v>
      </c>
      <c r="D61" t="s">
        <v>26</v>
      </c>
      <c r="E61" t="s">
        <v>27</v>
      </c>
      <c r="F61" t="s">
        <v>158</v>
      </c>
      <c r="G61">
        <v>355.6</v>
      </c>
      <c r="H61">
        <v>9</v>
      </c>
      <c r="I61">
        <v>52.87</v>
      </c>
      <c r="J61" t="s">
        <v>24</v>
      </c>
      <c r="K61" s="6">
        <f>tblSales[[#This Row],[Profit]]/tblSales[[#This Row],[Sales]]</f>
        <v>0.14867829021372328</v>
      </c>
      <c r="L61" t="str">
        <f>TEXT(tblSales[[#This Row],[Order Date]],"mmm")</f>
        <v>Jun</v>
      </c>
      <c r="M61">
        <f>YEAR(tblSales[[#This Row],[Order Date]])</f>
        <v>2022</v>
      </c>
    </row>
    <row r="62" spans="1:13">
      <c r="A62" t="s">
        <v>159</v>
      </c>
      <c r="B62" s="1">
        <v>44724</v>
      </c>
      <c r="C62" t="s">
        <v>33</v>
      </c>
      <c r="D62" t="s">
        <v>15</v>
      </c>
      <c r="E62" t="s">
        <v>16</v>
      </c>
      <c r="F62" t="s">
        <v>160</v>
      </c>
      <c r="G62">
        <v>1861.43</v>
      </c>
      <c r="H62">
        <v>8</v>
      </c>
      <c r="I62">
        <v>190.29</v>
      </c>
      <c r="J62" t="s">
        <v>18</v>
      </c>
      <c r="K62" s="6">
        <f>tblSales[[#This Row],[Profit]]/tblSales[[#This Row],[Sales]]</f>
        <v>0.10222785707762311</v>
      </c>
      <c r="L62" t="str">
        <f>TEXT(tblSales[[#This Row],[Order Date]],"mmm")</f>
        <v>Jun</v>
      </c>
      <c r="M62">
        <f>YEAR(tblSales[[#This Row],[Order Date]])</f>
        <v>2022</v>
      </c>
    </row>
    <row r="63" spans="1:13">
      <c r="A63" t="s">
        <v>161</v>
      </c>
      <c r="B63" s="1">
        <v>44725</v>
      </c>
      <c r="C63" t="s">
        <v>39</v>
      </c>
      <c r="D63" t="s">
        <v>40</v>
      </c>
      <c r="E63" t="s">
        <v>41</v>
      </c>
      <c r="F63" t="s">
        <v>162</v>
      </c>
      <c r="G63">
        <v>523.24</v>
      </c>
      <c r="H63">
        <v>2</v>
      </c>
      <c r="I63">
        <v>68.349999999999994</v>
      </c>
      <c r="J63" t="s">
        <v>29</v>
      </c>
      <c r="K63" s="6">
        <f>tblSales[[#This Row],[Profit]]/tblSales[[#This Row],[Sales]]</f>
        <v>0.1306283923247458</v>
      </c>
      <c r="L63" t="str">
        <f>TEXT(tblSales[[#This Row],[Order Date]],"mmm")</f>
        <v>Jun</v>
      </c>
      <c r="M63">
        <f>YEAR(tblSales[[#This Row],[Order Date]])</f>
        <v>2022</v>
      </c>
    </row>
    <row r="64" spans="1:13">
      <c r="A64" t="s">
        <v>163</v>
      </c>
      <c r="B64" s="1">
        <v>44726</v>
      </c>
      <c r="C64" t="s">
        <v>39</v>
      </c>
      <c r="D64" t="s">
        <v>73</v>
      </c>
      <c r="E64" t="s">
        <v>164</v>
      </c>
      <c r="F64" t="s">
        <v>165</v>
      </c>
      <c r="G64">
        <v>290.51</v>
      </c>
      <c r="H64">
        <v>6</v>
      </c>
      <c r="I64">
        <v>40.630000000000003</v>
      </c>
      <c r="J64" t="s">
        <v>29</v>
      </c>
      <c r="K64" s="6">
        <f>tblSales[[#This Row],[Profit]]/tblSales[[#This Row],[Sales]]</f>
        <v>0.13985749199683317</v>
      </c>
      <c r="L64" t="str">
        <f>TEXT(tblSales[[#This Row],[Order Date]],"mmm")</f>
        <v>Jun</v>
      </c>
      <c r="M64">
        <f>YEAR(tblSales[[#This Row],[Order Date]])</f>
        <v>2022</v>
      </c>
    </row>
    <row r="65" spans="1:13">
      <c r="A65" t="s">
        <v>166</v>
      </c>
      <c r="B65" s="1">
        <v>44727</v>
      </c>
      <c r="C65" t="s">
        <v>33</v>
      </c>
      <c r="D65" t="s">
        <v>40</v>
      </c>
      <c r="E65" t="s">
        <v>44</v>
      </c>
      <c r="F65" t="s">
        <v>167</v>
      </c>
      <c r="G65">
        <v>1622.54</v>
      </c>
      <c r="H65">
        <v>3</v>
      </c>
      <c r="I65">
        <v>185.05</v>
      </c>
      <c r="J65" t="s">
        <v>24</v>
      </c>
      <c r="K65" s="6">
        <f>tblSales[[#This Row],[Profit]]/tblSales[[#This Row],[Sales]]</f>
        <v>0.11404957658979133</v>
      </c>
      <c r="L65" t="str">
        <f>TEXT(tblSales[[#This Row],[Order Date]],"mmm")</f>
        <v>Jun</v>
      </c>
      <c r="M65">
        <f>YEAR(tblSales[[#This Row],[Order Date]])</f>
        <v>2022</v>
      </c>
    </row>
    <row r="66" spans="1:13">
      <c r="A66" t="s">
        <v>168</v>
      </c>
      <c r="B66" s="1">
        <v>44728</v>
      </c>
      <c r="C66" t="s">
        <v>39</v>
      </c>
      <c r="D66" t="s">
        <v>73</v>
      </c>
      <c r="E66" t="s">
        <v>74</v>
      </c>
      <c r="F66" t="s">
        <v>169</v>
      </c>
      <c r="G66">
        <v>181.56</v>
      </c>
      <c r="H66">
        <v>7</v>
      </c>
      <c r="I66">
        <v>31.84</v>
      </c>
      <c r="J66" t="s">
        <v>18</v>
      </c>
      <c r="K66" s="6">
        <f>tblSales[[#This Row],[Profit]]/tblSales[[#This Row],[Sales]]</f>
        <v>0.17536902401410001</v>
      </c>
      <c r="L66" t="str">
        <f>TEXT(tblSales[[#This Row],[Order Date]],"mmm")</f>
        <v>Jun</v>
      </c>
      <c r="M66">
        <f>YEAR(tblSales[[#This Row],[Order Date]])</f>
        <v>2022</v>
      </c>
    </row>
    <row r="67" spans="1:13">
      <c r="A67" t="s">
        <v>170</v>
      </c>
      <c r="B67" s="1">
        <v>44729</v>
      </c>
      <c r="C67" t="s">
        <v>20</v>
      </c>
      <c r="D67" t="s">
        <v>26</v>
      </c>
      <c r="E67" t="s">
        <v>34</v>
      </c>
      <c r="F67" t="s">
        <v>171</v>
      </c>
      <c r="G67">
        <v>1306.93</v>
      </c>
      <c r="H67">
        <v>3</v>
      </c>
      <c r="I67">
        <v>175.78</v>
      </c>
      <c r="J67" t="s">
        <v>29</v>
      </c>
      <c r="K67" s="6">
        <f>tblSales[[#This Row],[Profit]]/tblSales[[#This Row],[Sales]]</f>
        <v>0.13449840465824489</v>
      </c>
      <c r="L67" t="str">
        <f>TEXT(tblSales[[#This Row],[Order Date]],"mmm")</f>
        <v>Jun</v>
      </c>
      <c r="M67">
        <f>YEAR(tblSales[[#This Row],[Order Date]])</f>
        <v>2022</v>
      </c>
    </row>
    <row r="68" spans="1:13">
      <c r="A68" t="s">
        <v>172</v>
      </c>
      <c r="B68" s="1">
        <v>44730</v>
      </c>
      <c r="C68" t="s">
        <v>14</v>
      </c>
      <c r="D68" t="s">
        <v>40</v>
      </c>
      <c r="E68" t="s">
        <v>92</v>
      </c>
      <c r="F68" t="s">
        <v>173</v>
      </c>
      <c r="G68">
        <v>206.08</v>
      </c>
      <c r="H68">
        <v>7</v>
      </c>
      <c r="I68">
        <v>44.93</v>
      </c>
      <c r="J68" t="s">
        <v>24</v>
      </c>
      <c r="K68" s="6">
        <f>tblSales[[#This Row],[Profit]]/tblSales[[#This Row],[Sales]]</f>
        <v>0.21802212732919254</v>
      </c>
      <c r="L68" t="str">
        <f>TEXT(tblSales[[#This Row],[Order Date]],"mmm")</f>
        <v>Jun</v>
      </c>
      <c r="M68">
        <f>YEAR(tblSales[[#This Row],[Order Date]])</f>
        <v>2022</v>
      </c>
    </row>
    <row r="69" spans="1:13">
      <c r="A69" t="s">
        <v>174</v>
      </c>
      <c r="B69" s="1">
        <v>44731</v>
      </c>
      <c r="C69" t="s">
        <v>14</v>
      </c>
      <c r="D69" t="s">
        <v>40</v>
      </c>
      <c r="E69" t="s">
        <v>92</v>
      </c>
      <c r="F69" t="s">
        <v>175</v>
      </c>
      <c r="G69">
        <v>326.98</v>
      </c>
      <c r="H69">
        <v>6</v>
      </c>
      <c r="I69">
        <v>64.650000000000006</v>
      </c>
      <c r="J69" t="s">
        <v>24</v>
      </c>
      <c r="K69" s="6">
        <f>tblSales[[#This Row],[Profit]]/tblSales[[#This Row],[Sales]]</f>
        <v>0.19771851489387732</v>
      </c>
      <c r="L69" t="str">
        <f>TEXT(tblSales[[#This Row],[Order Date]],"mmm")</f>
        <v>Jun</v>
      </c>
      <c r="M69">
        <f>YEAR(tblSales[[#This Row],[Order Date]])</f>
        <v>2022</v>
      </c>
    </row>
    <row r="70" spans="1:13">
      <c r="A70" t="s">
        <v>176</v>
      </c>
      <c r="B70" s="1">
        <v>44732</v>
      </c>
      <c r="C70" t="s">
        <v>33</v>
      </c>
      <c r="D70" t="s">
        <v>40</v>
      </c>
      <c r="E70" t="s">
        <v>41</v>
      </c>
      <c r="F70" t="s">
        <v>177</v>
      </c>
      <c r="G70">
        <v>93.95</v>
      </c>
      <c r="H70">
        <v>6</v>
      </c>
      <c r="I70">
        <v>11.82</v>
      </c>
      <c r="J70" t="s">
        <v>18</v>
      </c>
      <c r="K70" s="6">
        <f>tblSales[[#This Row],[Profit]]/tblSales[[#This Row],[Sales]]</f>
        <v>0.12581160191591273</v>
      </c>
      <c r="L70" t="str">
        <f>TEXT(tblSales[[#This Row],[Order Date]],"mmm")</f>
        <v>Jun</v>
      </c>
      <c r="M70">
        <f>YEAR(tblSales[[#This Row],[Order Date]])</f>
        <v>2022</v>
      </c>
    </row>
    <row r="71" spans="1:13">
      <c r="A71" t="s">
        <v>178</v>
      </c>
      <c r="B71" s="1">
        <v>44733</v>
      </c>
      <c r="C71" t="s">
        <v>33</v>
      </c>
      <c r="D71" t="s">
        <v>21</v>
      </c>
      <c r="E71" t="s">
        <v>89</v>
      </c>
      <c r="F71" t="s">
        <v>179</v>
      </c>
      <c r="G71">
        <v>1054.04</v>
      </c>
      <c r="H71">
        <v>5</v>
      </c>
      <c r="I71">
        <v>124.26</v>
      </c>
      <c r="J71" t="s">
        <v>24</v>
      </c>
      <c r="K71" s="6">
        <f>tblSales[[#This Row],[Profit]]/tblSales[[#This Row],[Sales]]</f>
        <v>0.11788926416454784</v>
      </c>
      <c r="L71" t="str">
        <f>TEXT(tblSales[[#This Row],[Order Date]],"mmm")</f>
        <v>Jun</v>
      </c>
      <c r="M71">
        <f>YEAR(tblSales[[#This Row],[Order Date]])</f>
        <v>2022</v>
      </c>
    </row>
    <row r="72" spans="1:13">
      <c r="A72" t="s">
        <v>180</v>
      </c>
      <c r="B72" s="1">
        <v>44734</v>
      </c>
      <c r="C72" t="s">
        <v>20</v>
      </c>
      <c r="D72" t="s">
        <v>26</v>
      </c>
      <c r="E72" t="s">
        <v>49</v>
      </c>
      <c r="F72" t="s">
        <v>181</v>
      </c>
      <c r="G72">
        <v>925.39</v>
      </c>
      <c r="H72">
        <v>6</v>
      </c>
      <c r="I72">
        <v>58.23</v>
      </c>
      <c r="J72" t="s">
        <v>24</v>
      </c>
      <c r="K72" s="6">
        <f>tblSales[[#This Row],[Profit]]/tblSales[[#This Row],[Sales]]</f>
        <v>6.2924820886329003E-2</v>
      </c>
      <c r="L72" t="str">
        <f>TEXT(tblSales[[#This Row],[Order Date]],"mmm")</f>
        <v>Jun</v>
      </c>
      <c r="M72">
        <f>YEAR(tblSales[[#This Row],[Order Date]])</f>
        <v>2022</v>
      </c>
    </row>
    <row r="73" spans="1:13">
      <c r="A73" t="s">
        <v>182</v>
      </c>
      <c r="B73" s="1">
        <v>44735</v>
      </c>
      <c r="C73" t="s">
        <v>20</v>
      </c>
      <c r="D73" t="s">
        <v>15</v>
      </c>
      <c r="E73" t="s">
        <v>16</v>
      </c>
      <c r="F73" t="s">
        <v>183</v>
      </c>
      <c r="G73">
        <v>1405.03</v>
      </c>
      <c r="H73">
        <v>8</v>
      </c>
      <c r="I73">
        <v>325.3</v>
      </c>
      <c r="J73" t="s">
        <v>24</v>
      </c>
      <c r="K73" s="6">
        <f>tblSales[[#This Row],[Profit]]/tblSales[[#This Row],[Sales]]</f>
        <v>0.23152530550949091</v>
      </c>
      <c r="L73" t="str">
        <f>TEXT(tblSales[[#This Row],[Order Date]],"mmm")</f>
        <v>Jun</v>
      </c>
      <c r="M73">
        <f>YEAR(tblSales[[#This Row],[Order Date]])</f>
        <v>2022</v>
      </c>
    </row>
    <row r="74" spans="1:13">
      <c r="A74" t="s">
        <v>184</v>
      </c>
      <c r="B74" s="1">
        <v>44736</v>
      </c>
      <c r="C74" t="s">
        <v>33</v>
      </c>
      <c r="D74" t="s">
        <v>26</v>
      </c>
      <c r="E74" t="s">
        <v>27</v>
      </c>
      <c r="F74" t="s">
        <v>185</v>
      </c>
      <c r="G74">
        <v>1042.27</v>
      </c>
      <c r="H74">
        <v>3</v>
      </c>
      <c r="I74">
        <v>259.31</v>
      </c>
      <c r="J74" t="s">
        <v>18</v>
      </c>
      <c r="K74" s="6">
        <f>tblSales[[#This Row],[Profit]]/tblSales[[#This Row],[Sales]]</f>
        <v>0.24879349880549187</v>
      </c>
      <c r="L74" t="str">
        <f>TEXT(tblSales[[#This Row],[Order Date]],"mmm")</f>
        <v>Jun</v>
      </c>
      <c r="M74">
        <f>YEAR(tblSales[[#This Row],[Order Date]])</f>
        <v>2022</v>
      </c>
    </row>
    <row r="75" spans="1:13">
      <c r="A75" t="s">
        <v>186</v>
      </c>
      <c r="B75" s="1">
        <v>44737</v>
      </c>
      <c r="C75" t="s">
        <v>33</v>
      </c>
      <c r="D75" t="s">
        <v>15</v>
      </c>
      <c r="E75" t="s">
        <v>52</v>
      </c>
      <c r="F75" t="s">
        <v>187</v>
      </c>
      <c r="G75">
        <v>175.34</v>
      </c>
      <c r="H75">
        <v>5</v>
      </c>
      <c r="I75">
        <v>16.850000000000001</v>
      </c>
      <c r="J75" t="s">
        <v>18</v>
      </c>
      <c r="K75" s="6">
        <f>tblSales[[#This Row],[Profit]]/tblSales[[#This Row],[Sales]]</f>
        <v>9.6099007642294981E-2</v>
      </c>
      <c r="L75" t="str">
        <f>TEXT(tblSales[[#This Row],[Order Date]],"mmm")</f>
        <v>Jun</v>
      </c>
      <c r="M75">
        <f>YEAR(tblSales[[#This Row],[Order Date]])</f>
        <v>2022</v>
      </c>
    </row>
    <row r="76" spans="1:13">
      <c r="A76" t="s">
        <v>188</v>
      </c>
      <c r="B76" s="1">
        <v>44738</v>
      </c>
      <c r="C76" t="s">
        <v>33</v>
      </c>
      <c r="D76" t="s">
        <v>15</v>
      </c>
      <c r="E76" t="s">
        <v>16</v>
      </c>
      <c r="F76" t="s">
        <v>189</v>
      </c>
      <c r="G76">
        <v>1383.23</v>
      </c>
      <c r="H76">
        <v>1</v>
      </c>
      <c r="I76">
        <v>129.09</v>
      </c>
      <c r="J76" t="s">
        <v>24</v>
      </c>
      <c r="K76" s="6">
        <f>tblSales[[#This Row],[Profit]]/tblSales[[#This Row],[Sales]]</f>
        <v>9.3325043557470566E-2</v>
      </c>
      <c r="L76" t="str">
        <f>TEXT(tblSales[[#This Row],[Order Date]],"mmm")</f>
        <v>Jun</v>
      </c>
      <c r="M76">
        <f>YEAR(tblSales[[#This Row],[Order Date]])</f>
        <v>2022</v>
      </c>
    </row>
    <row r="77" spans="1:13">
      <c r="A77" t="s">
        <v>190</v>
      </c>
      <c r="B77" s="1">
        <v>44739</v>
      </c>
      <c r="C77" t="s">
        <v>39</v>
      </c>
      <c r="D77" t="s">
        <v>40</v>
      </c>
      <c r="E77" t="s">
        <v>44</v>
      </c>
      <c r="F77" t="s">
        <v>191</v>
      </c>
      <c r="G77">
        <v>494.78</v>
      </c>
      <c r="H77">
        <v>6</v>
      </c>
      <c r="I77">
        <v>113.13</v>
      </c>
      <c r="J77" t="s">
        <v>29</v>
      </c>
      <c r="K77" s="6">
        <f>tblSales[[#This Row],[Profit]]/tblSales[[#This Row],[Sales]]</f>
        <v>0.22864707546788471</v>
      </c>
      <c r="L77" t="str">
        <f>TEXT(tblSales[[#This Row],[Order Date]],"mmm")</f>
        <v>Jun</v>
      </c>
      <c r="M77">
        <f>YEAR(tblSales[[#This Row],[Order Date]])</f>
        <v>2022</v>
      </c>
    </row>
    <row r="78" spans="1:13">
      <c r="A78" t="s">
        <v>192</v>
      </c>
      <c r="B78" s="1">
        <v>44740</v>
      </c>
      <c r="C78" t="s">
        <v>20</v>
      </c>
      <c r="D78" t="s">
        <v>15</v>
      </c>
      <c r="E78" t="s">
        <v>79</v>
      </c>
      <c r="F78" t="s">
        <v>193</v>
      </c>
      <c r="G78">
        <v>1283.78</v>
      </c>
      <c r="H78">
        <v>7</v>
      </c>
      <c r="I78">
        <v>275.08999999999997</v>
      </c>
      <c r="J78" t="s">
        <v>29</v>
      </c>
      <c r="K78" s="6">
        <f>tblSales[[#This Row],[Profit]]/tblSales[[#This Row],[Sales]]</f>
        <v>0.21428126314477558</v>
      </c>
      <c r="L78" t="str">
        <f>TEXT(tblSales[[#This Row],[Order Date]],"mmm")</f>
        <v>Jun</v>
      </c>
      <c r="M78">
        <f>YEAR(tblSales[[#This Row],[Order Date]])</f>
        <v>2022</v>
      </c>
    </row>
    <row r="79" spans="1:13">
      <c r="A79" t="s">
        <v>194</v>
      </c>
      <c r="B79" s="1">
        <v>44741</v>
      </c>
      <c r="C79" t="s">
        <v>33</v>
      </c>
      <c r="D79" t="s">
        <v>21</v>
      </c>
      <c r="E79" t="s">
        <v>89</v>
      </c>
      <c r="F79" t="s">
        <v>195</v>
      </c>
      <c r="G79">
        <v>1465.48</v>
      </c>
      <c r="H79">
        <v>3</v>
      </c>
      <c r="I79">
        <v>164.04</v>
      </c>
      <c r="J79" t="s">
        <v>29</v>
      </c>
      <c r="K79" s="6">
        <f>tblSales[[#This Row],[Profit]]/tblSales[[#This Row],[Sales]]</f>
        <v>0.11193602096241503</v>
      </c>
      <c r="L79" t="str">
        <f>TEXT(tblSales[[#This Row],[Order Date]],"mmm")</f>
        <v>Jun</v>
      </c>
      <c r="M79">
        <f>YEAR(tblSales[[#This Row],[Order Date]])</f>
        <v>2022</v>
      </c>
    </row>
    <row r="80" spans="1:13">
      <c r="A80" t="s">
        <v>196</v>
      </c>
      <c r="B80" s="1">
        <v>44742</v>
      </c>
      <c r="C80" t="s">
        <v>33</v>
      </c>
      <c r="D80" t="s">
        <v>15</v>
      </c>
      <c r="E80" t="s">
        <v>79</v>
      </c>
      <c r="F80" t="s">
        <v>197</v>
      </c>
      <c r="G80">
        <v>1520.54</v>
      </c>
      <c r="H80">
        <v>9</v>
      </c>
      <c r="I80">
        <v>205.99</v>
      </c>
      <c r="J80" t="s">
        <v>18</v>
      </c>
      <c r="K80" s="6">
        <f>tblSales[[#This Row],[Profit]]/tblSales[[#This Row],[Sales]]</f>
        <v>0.13547160877056835</v>
      </c>
      <c r="L80" t="str">
        <f>TEXT(tblSales[[#This Row],[Order Date]],"mmm")</f>
        <v>Jun</v>
      </c>
      <c r="M80">
        <f>YEAR(tblSales[[#This Row],[Order Date]])</f>
        <v>2022</v>
      </c>
    </row>
    <row r="81" spans="1:13">
      <c r="A81" t="s">
        <v>198</v>
      </c>
      <c r="B81" s="1">
        <v>44743</v>
      </c>
      <c r="C81" t="s">
        <v>20</v>
      </c>
      <c r="D81" t="s">
        <v>21</v>
      </c>
      <c r="E81" t="s">
        <v>57</v>
      </c>
      <c r="F81" t="s">
        <v>199</v>
      </c>
      <c r="G81">
        <v>206.43</v>
      </c>
      <c r="H81">
        <v>4</v>
      </c>
      <c r="I81">
        <v>19.37</v>
      </c>
      <c r="J81" t="s">
        <v>29</v>
      </c>
      <c r="K81" s="6">
        <f>tblSales[[#This Row],[Profit]]/tblSales[[#This Row],[Sales]]</f>
        <v>9.3833260669476337E-2</v>
      </c>
      <c r="L81" t="str">
        <f>TEXT(tblSales[[#This Row],[Order Date]],"mmm")</f>
        <v>Jul</v>
      </c>
      <c r="M81">
        <f>YEAR(tblSales[[#This Row],[Order Date]])</f>
        <v>2022</v>
      </c>
    </row>
    <row r="82" spans="1:13">
      <c r="A82" t="s">
        <v>200</v>
      </c>
      <c r="B82" s="1">
        <v>44744</v>
      </c>
      <c r="C82" t="s">
        <v>39</v>
      </c>
      <c r="D82" t="s">
        <v>40</v>
      </c>
      <c r="E82" t="s">
        <v>44</v>
      </c>
      <c r="F82" t="s">
        <v>201</v>
      </c>
      <c r="G82">
        <v>1617.69</v>
      </c>
      <c r="H82">
        <v>4</v>
      </c>
      <c r="I82">
        <v>150.93</v>
      </c>
      <c r="J82" t="s">
        <v>24</v>
      </c>
      <c r="K82" s="6">
        <f>tblSales[[#This Row],[Profit]]/tblSales[[#This Row],[Sales]]</f>
        <v>9.3299705135100053E-2</v>
      </c>
      <c r="L82" t="str">
        <f>TEXT(tblSales[[#This Row],[Order Date]],"mmm")</f>
        <v>Jul</v>
      </c>
      <c r="M82">
        <f>YEAR(tblSales[[#This Row],[Order Date]])</f>
        <v>2022</v>
      </c>
    </row>
    <row r="83" spans="1:13">
      <c r="A83" t="s">
        <v>202</v>
      </c>
      <c r="B83" s="1">
        <v>44745</v>
      </c>
      <c r="C83" t="s">
        <v>39</v>
      </c>
      <c r="D83" t="s">
        <v>73</v>
      </c>
      <c r="E83" t="s">
        <v>164</v>
      </c>
      <c r="F83" t="s">
        <v>203</v>
      </c>
      <c r="G83">
        <v>115.16</v>
      </c>
      <c r="H83">
        <v>6</v>
      </c>
      <c r="I83">
        <v>24.04</v>
      </c>
      <c r="J83" t="s">
        <v>29</v>
      </c>
      <c r="K83" s="6">
        <f>tblSales[[#This Row],[Profit]]/tblSales[[#This Row],[Sales]]</f>
        <v>0.20875303924973948</v>
      </c>
      <c r="L83" t="str">
        <f>TEXT(tblSales[[#This Row],[Order Date]],"mmm")</f>
        <v>Jul</v>
      </c>
      <c r="M83">
        <f>YEAR(tblSales[[#This Row],[Order Date]])</f>
        <v>2022</v>
      </c>
    </row>
    <row r="84" spans="1:13">
      <c r="A84" t="s">
        <v>204</v>
      </c>
      <c r="B84" s="1">
        <v>44746</v>
      </c>
      <c r="C84" t="s">
        <v>20</v>
      </c>
      <c r="D84" t="s">
        <v>15</v>
      </c>
      <c r="E84" t="s">
        <v>16</v>
      </c>
      <c r="F84" t="s">
        <v>205</v>
      </c>
      <c r="G84">
        <v>1259.2</v>
      </c>
      <c r="H84">
        <v>1</v>
      </c>
      <c r="I84">
        <v>232.76</v>
      </c>
      <c r="J84" t="s">
        <v>18</v>
      </c>
      <c r="K84" s="6">
        <f>tblSales[[#This Row],[Profit]]/tblSales[[#This Row],[Sales]]</f>
        <v>0.18484752223634052</v>
      </c>
      <c r="L84" t="str">
        <f>TEXT(tblSales[[#This Row],[Order Date]],"mmm")</f>
        <v>Jul</v>
      </c>
      <c r="M84">
        <f>YEAR(tblSales[[#This Row],[Order Date]])</f>
        <v>2022</v>
      </c>
    </row>
    <row r="85" spans="1:13">
      <c r="A85" t="s">
        <v>206</v>
      </c>
      <c r="B85" s="1">
        <v>44747</v>
      </c>
      <c r="C85" t="s">
        <v>39</v>
      </c>
      <c r="D85" t="s">
        <v>40</v>
      </c>
      <c r="E85" t="s">
        <v>92</v>
      </c>
      <c r="F85" t="s">
        <v>207</v>
      </c>
      <c r="G85">
        <v>159.72999999999999</v>
      </c>
      <c r="H85">
        <v>7</v>
      </c>
      <c r="I85">
        <v>45.69</v>
      </c>
      <c r="J85" t="s">
        <v>24</v>
      </c>
      <c r="K85" s="6">
        <f>tblSales[[#This Row],[Profit]]/tblSales[[#This Row],[Sales]]</f>
        <v>0.28604520127715521</v>
      </c>
      <c r="L85" t="str">
        <f>TEXT(tblSales[[#This Row],[Order Date]],"mmm")</f>
        <v>Jul</v>
      </c>
      <c r="M85">
        <f>YEAR(tblSales[[#This Row],[Order Date]])</f>
        <v>2022</v>
      </c>
    </row>
    <row r="86" spans="1:13">
      <c r="A86" t="s">
        <v>208</v>
      </c>
      <c r="B86" s="1">
        <v>44748</v>
      </c>
      <c r="C86" t="s">
        <v>33</v>
      </c>
      <c r="D86" t="s">
        <v>73</v>
      </c>
      <c r="E86" t="s">
        <v>84</v>
      </c>
      <c r="F86" t="s">
        <v>209</v>
      </c>
      <c r="G86">
        <v>1159.44</v>
      </c>
      <c r="H86">
        <v>2</v>
      </c>
      <c r="I86">
        <v>224.17</v>
      </c>
      <c r="J86" t="s">
        <v>24</v>
      </c>
      <c r="K86" s="6">
        <f>tblSales[[#This Row],[Profit]]/tblSales[[#This Row],[Sales]]</f>
        <v>0.19334333816325119</v>
      </c>
      <c r="L86" t="str">
        <f>TEXT(tblSales[[#This Row],[Order Date]],"mmm")</f>
        <v>Jul</v>
      </c>
      <c r="M86">
        <f>YEAR(tblSales[[#This Row],[Order Date]])</f>
        <v>2022</v>
      </c>
    </row>
    <row r="87" spans="1:13">
      <c r="A87" t="s">
        <v>210</v>
      </c>
      <c r="B87" s="1">
        <v>44749</v>
      </c>
      <c r="C87" t="s">
        <v>14</v>
      </c>
      <c r="D87" t="s">
        <v>15</v>
      </c>
      <c r="E87" t="s">
        <v>52</v>
      </c>
      <c r="F87" t="s">
        <v>211</v>
      </c>
      <c r="G87">
        <v>1626.18</v>
      </c>
      <c r="H87">
        <v>5</v>
      </c>
      <c r="I87">
        <v>335.78</v>
      </c>
      <c r="J87" t="s">
        <v>24</v>
      </c>
      <c r="K87" s="6">
        <f>tblSales[[#This Row],[Profit]]/tblSales[[#This Row],[Sales]]</f>
        <v>0.20648390707055797</v>
      </c>
      <c r="L87" t="str">
        <f>TEXT(tblSales[[#This Row],[Order Date]],"mmm")</f>
        <v>Jul</v>
      </c>
      <c r="M87">
        <f>YEAR(tblSales[[#This Row],[Order Date]])</f>
        <v>2022</v>
      </c>
    </row>
    <row r="88" spans="1:13">
      <c r="A88" t="s">
        <v>212</v>
      </c>
      <c r="B88" s="1">
        <v>44750</v>
      </c>
      <c r="C88" t="s">
        <v>14</v>
      </c>
      <c r="D88" t="s">
        <v>73</v>
      </c>
      <c r="E88" t="s">
        <v>74</v>
      </c>
      <c r="F88" t="s">
        <v>213</v>
      </c>
      <c r="G88">
        <v>1309.94</v>
      </c>
      <c r="H88">
        <v>2</v>
      </c>
      <c r="I88">
        <v>78.260000000000005</v>
      </c>
      <c r="J88" t="s">
        <v>29</v>
      </c>
      <c r="K88" s="6">
        <f>tblSales[[#This Row],[Profit]]/tblSales[[#This Row],[Sales]]</f>
        <v>5.9743194344779149E-2</v>
      </c>
      <c r="L88" t="str">
        <f>TEXT(tblSales[[#This Row],[Order Date]],"mmm")</f>
        <v>Jul</v>
      </c>
      <c r="M88">
        <f>YEAR(tblSales[[#This Row],[Order Date]])</f>
        <v>2022</v>
      </c>
    </row>
    <row r="89" spans="1:13">
      <c r="A89" t="s">
        <v>214</v>
      </c>
      <c r="B89" s="1">
        <v>44751</v>
      </c>
      <c r="C89" t="s">
        <v>39</v>
      </c>
      <c r="D89" t="s">
        <v>21</v>
      </c>
      <c r="E89" t="s">
        <v>57</v>
      </c>
      <c r="F89" t="s">
        <v>215</v>
      </c>
      <c r="G89">
        <v>1318.33</v>
      </c>
      <c r="H89">
        <v>2</v>
      </c>
      <c r="I89">
        <v>151.84</v>
      </c>
      <c r="J89" t="s">
        <v>18</v>
      </c>
      <c r="K89" s="6">
        <f>tblSales[[#This Row],[Profit]]/tblSales[[#This Row],[Sales]]</f>
        <v>0.11517601814416725</v>
      </c>
      <c r="L89" t="str">
        <f>TEXT(tblSales[[#This Row],[Order Date]],"mmm")</f>
        <v>Jul</v>
      </c>
      <c r="M89">
        <f>YEAR(tblSales[[#This Row],[Order Date]])</f>
        <v>2022</v>
      </c>
    </row>
    <row r="90" spans="1:13">
      <c r="A90" t="s">
        <v>216</v>
      </c>
      <c r="B90" s="1">
        <v>44752</v>
      </c>
      <c r="C90" t="s">
        <v>14</v>
      </c>
      <c r="D90" t="s">
        <v>21</v>
      </c>
      <c r="E90" t="s">
        <v>57</v>
      </c>
      <c r="F90" t="s">
        <v>217</v>
      </c>
      <c r="G90">
        <v>1399.54</v>
      </c>
      <c r="H90">
        <v>8</v>
      </c>
      <c r="I90">
        <v>327.17</v>
      </c>
      <c r="J90" t="s">
        <v>18</v>
      </c>
      <c r="K90" s="6">
        <f>tblSales[[#This Row],[Profit]]/tblSales[[#This Row],[Sales]]</f>
        <v>0.23376966717635797</v>
      </c>
      <c r="L90" t="str">
        <f>TEXT(tblSales[[#This Row],[Order Date]],"mmm")</f>
        <v>Jul</v>
      </c>
      <c r="M90">
        <f>YEAR(tblSales[[#This Row],[Order Date]])</f>
        <v>2022</v>
      </c>
    </row>
    <row r="91" spans="1:13">
      <c r="A91" t="s">
        <v>218</v>
      </c>
      <c r="B91" s="1">
        <v>44753</v>
      </c>
      <c r="C91" t="s">
        <v>39</v>
      </c>
      <c r="D91" t="s">
        <v>15</v>
      </c>
      <c r="E91" t="s">
        <v>79</v>
      </c>
      <c r="F91" t="s">
        <v>219</v>
      </c>
      <c r="G91">
        <v>371.33</v>
      </c>
      <c r="H91">
        <v>9</v>
      </c>
      <c r="I91">
        <v>71.34</v>
      </c>
      <c r="J91" t="s">
        <v>29</v>
      </c>
      <c r="K91" s="6">
        <f>tblSales[[#This Row],[Profit]]/tblSales[[#This Row],[Sales]]</f>
        <v>0.1921202165189993</v>
      </c>
      <c r="L91" t="str">
        <f>TEXT(tblSales[[#This Row],[Order Date]],"mmm")</f>
        <v>Jul</v>
      </c>
      <c r="M91">
        <f>YEAR(tblSales[[#This Row],[Order Date]])</f>
        <v>2022</v>
      </c>
    </row>
    <row r="92" spans="1:13">
      <c r="A92" t="s">
        <v>220</v>
      </c>
      <c r="B92" s="1">
        <v>44754</v>
      </c>
      <c r="C92" t="s">
        <v>33</v>
      </c>
      <c r="D92" t="s">
        <v>73</v>
      </c>
      <c r="E92" t="s">
        <v>74</v>
      </c>
      <c r="F92" t="s">
        <v>221</v>
      </c>
      <c r="G92">
        <v>836.98</v>
      </c>
      <c r="H92">
        <v>2</v>
      </c>
      <c r="I92">
        <v>94.16</v>
      </c>
      <c r="J92" t="s">
        <v>29</v>
      </c>
      <c r="K92" s="6">
        <f>tblSales[[#This Row],[Profit]]/tblSales[[#This Row],[Sales]]</f>
        <v>0.11249970130708022</v>
      </c>
      <c r="L92" t="str">
        <f>TEXT(tblSales[[#This Row],[Order Date]],"mmm")</f>
        <v>Jul</v>
      </c>
      <c r="M92">
        <f>YEAR(tblSales[[#This Row],[Order Date]])</f>
        <v>2022</v>
      </c>
    </row>
    <row r="93" spans="1:13">
      <c r="A93" t="s">
        <v>222</v>
      </c>
      <c r="B93" s="1">
        <v>44755</v>
      </c>
      <c r="C93" t="s">
        <v>14</v>
      </c>
      <c r="D93" t="s">
        <v>40</v>
      </c>
      <c r="E93" t="s">
        <v>92</v>
      </c>
      <c r="F93" t="s">
        <v>223</v>
      </c>
      <c r="G93">
        <v>1736.89</v>
      </c>
      <c r="H93">
        <v>5</v>
      </c>
      <c r="I93">
        <v>190.45</v>
      </c>
      <c r="J93" t="s">
        <v>29</v>
      </c>
      <c r="K93" s="6">
        <f>tblSales[[#This Row],[Profit]]/tblSales[[#This Row],[Sales]]</f>
        <v>0.10965000662102953</v>
      </c>
      <c r="L93" t="str">
        <f>TEXT(tblSales[[#This Row],[Order Date]],"mmm")</f>
        <v>Jul</v>
      </c>
      <c r="M93">
        <f>YEAR(tblSales[[#This Row],[Order Date]])</f>
        <v>2022</v>
      </c>
    </row>
    <row r="94" spans="1:13">
      <c r="A94" t="s">
        <v>224</v>
      </c>
      <c r="B94" s="1">
        <v>44756</v>
      </c>
      <c r="C94" t="s">
        <v>33</v>
      </c>
      <c r="D94" t="s">
        <v>40</v>
      </c>
      <c r="E94" t="s">
        <v>92</v>
      </c>
      <c r="F94" t="s">
        <v>225</v>
      </c>
      <c r="G94">
        <v>1485.02</v>
      </c>
      <c r="H94">
        <v>3</v>
      </c>
      <c r="I94">
        <v>112.54</v>
      </c>
      <c r="J94" t="s">
        <v>18</v>
      </c>
      <c r="K94" s="6">
        <f>tblSales[[#This Row],[Profit]]/tblSales[[#This Row],[Sales]]</f>
        <v>7.5783491131432582E-2</v>
      </c>
      <c r="L94" t="str">
        <f>TEXT(tblSales[[#This Row],[Order Date]],"mmm")</f>
        <v>Jul</v>
      </c>
      <c r="M94">
        <f>YEAR(tblSales[[#This Row],[Order Date]])</f>
        <v>2022</v>
      </c>
    </row>
    <row r="95" spans="1:13">
      <c r="A95" t="s">
        <v>226</v>
      </c>
      <c r="B95" s="1">
        <v>44757</v>
      </c>
      <c r="C95" t="s">
        <v>14</v>
      </c>
      <c r="D95" t="s">
        <v>40</v>
      </c>
      <c r="E95" t="s">
        <v>41</v>
      </c>
      <c r="F95" t="s">
        <v>227</v>
      </c>
      <c r="G95">
        <v>1020.4</v>
      </c>
      <c r="H95">
        <v>9</v>
      </c>
      <c r="I95">
        <v>132.66</v>
      </c>
      <c r="J95" t="s">
        <v>24</v>
      </c>
      <c r="K95" s="6">
        <f>tblSales[[#This Row],[Profit]]/tblSales[[#This Row],[Sales]]</f>
        <v>0.13000784006272051</v>
      </c>
      <c r="L95" t="str">
        <f>TEXT(tblSales[[#This Row],[Order Date]],"mmm")</f>
        <v>Jul</v>
      </c>
      <c r="M95">
        <f>YEAR(tblSales[[#This Row],[Order Date]])</f>
        <v>2022</v>
      </c>
    </row>
    <row r="96" spans="1:13">
      <c r="A96" t="s">
        <v>228</v>
      </c>
      <c r="B96" s="1">
        <v>44758</v>
      </c>
      <c r="C96" t="s">
        <v>39</v>
      </c>
      <c r="D96" t="s">
        <v>21</v>
      </c>
      <c r="E96" t="s">
        <v>22</v>
      </c>
      <c r="F96" t="s">
        <v>229</v>
      </c>
      <c r="G96">
        <v>790.62</v>
      </c>
      <c r="H96">
        <v>9</v>
      </c>
      <c r="I96">
        <v>206.97</v>
      </c>
      <c r="J96" t="s">
        <v>18</v>
      </c>
      <c r="K96" s="6">
        <f>tblSales[[#This Row],[Profit]]/tblSales[[#This Row],[Sales]]</f>
        <v>0.26178189269181151</v>
      </c>
      <c r="L96" t="str">
        <f>TEXT(tblSales[[#This Row],[Order Date]],"mmm")</f>
        <v>Jul</v>
      </c>
      <c r="M96">
        <f>YEAR(tblSales[[#This Row],[Order Date]])</f>
        <v>2022</v>
      </c>
    </row>
    <row r="97" spans="1:13">
      <c r="A97" t="s">
        <v>230</v>
      </c>
      <c r="B97" s="1">
        <v>44759</v>
      </c>
      <c r="C97" t="s">
        <v>33</v>
      </c>
      <c r="D97" t="s">
        <v>73</v>
      </c>
      <c r="E97" t="s">
        <v>164</v>
      </c>
      <c r="F97" t="s">
        <v>231</v>
      </c>
      <c r="G97">
        <v>1914.47</v>
      </c>
      <c r="H97">
        <v>4</v>
      </c>
      <c r="I97">
        <v>370.18</v>
      </c>
      <c r="J97" t="s">
        <v>18</v>
      </c>
      <c r="K97" s="6">
        <f>tblSales[[#This Row],[Profit]]/tblSales[[#This Row],[Sales]]</f>
        <v>0.19335899752934232</v>
      </c>
      <c r="L97" t="str">
        <f>TEXT(tblSales[[#This Row],[Order Date]],"mmm")</f>
        <v>Jul</v>
      </c>
      <c r="M97">
        <f>YEAR(tblSales[[#This Row],[Order Date]])</f>
        <v>2022</v>
      </c>
    </row>
    <row r="98" spans="1:13">
      <c r="A98" t="s">
        <v>232</v>
      </c>
      <c r="B98" s="1">
        <v>44760</v>
      </c>
      <c r="C98" t="s">
        <v>39</v>
      </c>
      <c r="D98" t="s">
        <v>21</v>
      </c>
      <c r="E98" t="s">
        <v>89</v>
      </c>
      <c r="F98" t="s">
        <v>233</v>
      </c>
      <c r="G98">
        <v>907.92</v>
      </c>
      <c r="H98">
        <v>3</v>
      </c>
      <c r="I98">
        <v>182.14</v>
      </c>
      <c r="J98" t="s">
        <v>24</v>
      </c>
      <c r="K98" s="6">
        <f>tblSales[[#This Row],[Profit]]/tblSales[[#This Row],[Sales]]</f>
        <v>0.20061238875671863</v>
      </c>
      <c r="L98" t="str">
        <f>TEXT(tblSales[[#This Row],[Order Date]],"mmm")</f>
        <v>Jul</v>
      </c>
      <c r="M98">
        <f>YEAR(tblSales[[#This Row],[Order Date]])</f>
        <v>2022</v>
      </c>
    </row>
    <row r="99" spans="1:13">
      <c r="A99" t="s">
        <v>234</v>
      </c>
      <c r="B99" s="1">
        <v>44761</v>
      </c>
      <c r="C99" t="s">
        <v>39</v>
      </c>
      <c r="D99" t="s">
        <v>40</v>
      </c>
      <c r="E99" t="s">
        <v>92</v>
      </c>
      <c r="F99" t="s">
        <v>235</v>
      </c>
      <c r="G99">
        <v>1587.33</v>
      </c>
      <c r="H99">
        <v>9</v>
      </c>
      <c r="I99">
        <v>124.39</v>
      </c>
      <c r="J99" t="s">
        <v>18</v>
      </c>
      <c r="K99" s="6">
        <f>tblSales[[#This Row],[Profit]]/tblSales[[#This Row],[Sales]]</f>
        <v>7.8364297279078704E-2</v>
      </c>
      <c r="L99" t="str">
        <f>TEXT(tblSales[[#This Row],[Order Date]],"mmm")</f>
        <v>Jul</v>
      </c>
      <c r="M99">
        <f>YEAR(tblSales[[#This Row],[Order Date]])</f>
        <v>2022</v>
      </c>
    </row>
    <row r="100" spans="1:13">
      <c r="A100" t="s">
        <v>236</v>
      </c>
      <c r="B100" s="1">
        <v>44762</v>
      </c>
      <c r="C100" t="s">
        <v>33</v>
      </c>
      <c r="D100" t="s">
        <v>73</v>
      </c>
      <c r="E100" t="s">
        <v>164</v>
      </c>
      <c r="F100" t="s">
        <v>237</v>
      </c>
      <c r="G100">
        <v>1949.01</v>
      </c>
      <c r="H100">
        <v>5</v>
      </c>
      <c r="I100">
        <v>456.57</v>
      </c>
      <c r="J100" t="s">
        <v>29</v>
      </c>
      <c r="K100" s="6">
        <f>tblSales[[#This Row],[Profit]]/tblSales[[#This Row],[Sales]]</f>
        <v>0.23425739221450889</v>
      </c>
      <c r="L100" t="str">
        <f>TEXT(tblSales[[#This Row],[Order Date]],"mmm")</f>
        <v>Jul</v>
      </c>
      <c r="M100">
        <f>YEAR(tblSales[[#This Row],[Order Date]])</f>
        <v>2022</v>
      </c>
    </row>
    <row r="101" spans="1:13">
      <c r="A101" t="s">
        <v>238</v>
      </c>
      <c r="B101" s="1">
        <v>44763</v>
      </c>
      <c r="C101" t="s">
        <v>20</v>
      </c>
      <c r="D101" t="s">
        <v>21</v>
      </c>
      <c r="E101" t="s">
        <v>22</v>
      </c>
      <c r="F101" t="s">
        <v>239</v>
      </c>
      <c r="G101">
        <v>251.79</v>
      </c>
      <c r="H101">
        <v>9</v>
      </c>
      <c r="I101">
        <v>60.52</v>
      </c>
      <c r="J101" t="s">
        <v>24</v>
      </c>
      <c r="K101" s="6">
        <f>tblSales[[#This Row],[Profit]]/tblSales[[#This Row],[Sales]]</f>
        <v>0.24035902934985506</v>
      </c>
      <c r="L101" t="str">
        <f>TEXT(tblSales[[#This Row],[Order Date]],"mmm")</f>
        <v>Jul</v>
      </c>
      <c r="M101">
        <f>YEAR(tblSales[[#This Row],[Order Date]])</f>
        <v>2022</v>
      </c>
    </row>
    <row r="102" spans="1:13">
      <c r="A102" t="s">
        <v>240</v>
      </c>
      <c r="B102" s="1">
        <v>44764</v>
      </c>
      <c r="C102" t="s">
        <v>20</v>
      </c>
      <c r="D102" t="s">
        <v>40</v>
      </c>
      <c r="E102" t="s">
        <v>41</v>
      </c>
      <c r="F102" t="s">
        <v>241</v>
      </c>
      <c r="G102">
        <v>220.22</v>
      </c>
      <c r="H102">
        <v>7</v>
      </c>
      <c r="I102">
        <v>34.47</v>
      </c>
      <c r="J102" t="s">
        <v>29</v>
      </c>
      <c r="K102" s="6">
        <f>tblSales[[#This Row],[Profit]]/tblSales[[#This Row],[Sales]]</f>
        <v>0.15652529288892925</v>
      </c>
      <c r="L102" t="str">
        <f>TEXT(tblSales[[#This Row],[Order Date]],"mmm")</f>
        <v>Jul</v>
      </c>
      <c r="M102">
        <f>YEAR(tblSales[[#This Row],[Order Date]])</f>
        <v>2022</v>
      </c>
    </row>
    <row r="103" spans="1:13">
      <c r="A103" t="s">
        <v>242</v>
      </c>
      <c r="B103" s="1">
        <v>44765</v>
      </c>
      <c r="C103" t="s">
        <v>33</v>
      </c>
      <c r="D103" t="s">
        <v>21</v>
      </c>
      <c r="E103" t="s">
        <v>89</v>
      </c>
      <c r="F103" t="s">
        <v>243</v>
      </c>
      <c r="G103">
        <v>805.37</v>
      </c>
      <c r="H103">
        <v>2</v>
      </c>
      <c r="I103">
        <v>56.65</v>
      </c>
      <c r="J103" t="s">
        <v>18</v>
      </c>
      <c r="K103" s="6">
        <f>tblSales[[#This Row],[Profit]]/tblSales[[#This Row],[Sales]]</f>
        <v>7.0340340464631168E-2</v>
      </c>
      <c r="L103" t="str">
        <f>TEXT(tblSales[[#This Row],[Order Date]],"mmm")</f>
        <v>Jul</v>
      </c>
      <c r="M103">
        <f>YEAR(tblSales[[#This Row],[Order Date]])</f>
        <v>2022</v>
      </c>
    </row>
    <row r="104" spans="1:13">
      <c r="A104" t="s">
        <v>244</v>
      </c>
      <c r="B104" s="1">
        <v>44766</v>
      </c>
      <c r="C104" t="s">
        <v>20</v>
      </c>
      <c r="D104" t="s">
        <v>73</v>
      </c>
      <c r="E104" t="s">
        <v>74</v>
      </c>
      <c r="F104" t="s">
        <v>245</v>
      </c>
      <c r="G104">
        <v>1973.55</v>
      </c>
      <c r="H104">
        <v>1</v>
      </c>
      <c r="I104">
        <v>533.04</v>
      </c>
      <c r="J104" t="s">
        <v>24</v>
      </c>
      <c r="K104" s="6">
        <f>tblSales[[#This Row],[Profit]]/tblSales[[#This Row],[Sales]]</f>
        <v>0.27009196625370524</v>
      </c>
      <c r="L104" t="str">
        <f>TEXT(tblSales[[#This Row],[Order Date]],"mmm")</f>
        <v>Jul</v>
      </c>
      <c r="M104">
        <f>YEAR(tblSales[[#This Row],[Order Date]])</f>
        <v>2022</v>
      </c>
    </row>
    <row r="105" spans="1:13">
      <c r="A105" t="s">
        <v>246</v>
      </c>
      <c r="B105" s="1">
        <v>44767</v>
      </c>
      <c r="C105" t="s">
        <v>20</v>
      </c>
      <c r="D105" t="s">
        <v>40</v>
      </c>
      <c r="E105" t="s">
        <v>44</v>
      </c>
      <c r="F105" t="s">
        <v>247</v>
      </c>
      <c r="G105">
        <v>1972.28</v>
      </c>
      <c r="H105">
        <v>4</v>
      </c>
      <c r="I105">
        <v>271.3</v>
      </c>
      <c r="J105" t="s">
        <v>24</v>
      </c>
      <c r="K105" s="6">
        <f>tblSales[[#This Row],[Profit]]/tblSales[[#This Row],[Sales]]</f>
        <v>0.13755653355507333</v>
      </c>
      <c r="L105" t="str">
        <f>TEXT(tblSales[[#This Row],[Order Date]],"mmm")</f>
        <v>Jul</v>
      </c>
      <c r="M105">
        <f>YEAR(tblSales[[#This Row],[Order Date]])</f>
        <v>2022</v>
      </c>
    </row>
    <row r="106" spans="1:13">
      <c r="A106" t="s">
        <v>248</v>
      </c>
      <c r="B106" s="1">
        <v>44768</v>
      </c>
      <c r="C106" t="s">
        <v>33</v>
      </c>
      <c r="D106" t="s">
        <v>15</v>
      </c>
      <c r="E106" t="s">
        <v>60</v>
      </c>
      <c r="F106" t="s">
        <v>249</v>
      </c>
      <c r="G106">
        <v>973.7</v>
      </c>
      <c r="H106">
        <v>6</v>
      </c>
      <c r="I106">
        <v>220.32</v>
      </c>
      <c r="J106" t="s">
        <v>18</v>
      </c>
      <c r="K106" s="6">
        <f>tblSales[[#This Row],[Profit]]/tblSales[[#This Row],[Sales]]</f>
        <v>0.22627092533634588</v>
      </c>
      <c r="L106" t="str">
        <f>TEXT(tblSales[[#This Row],[Order Date]],"mmm")</f>
        <v>Jul</v>
      </c>
      <c r="M106">
        <f>YEAR(tblSales[[#This Row],[Order Date]])</f>
        <v>2022</v>
      </c>
    </row>
    <row r="107" spans="1:13">
      <c r="A107" t="s">
        <v>250</v>
      </c>
      <c r="B107" s="1">
        <v>44769</v>
      </c>
      <c r="C107" t="s">
        <v>14</v>
      </c>
      <c r="D107" t="s">
        <v>40</v>
      </c>
      <c r="E107" t="s">
        <v>92</v>
      </c>
      <c r="F107" t="s">
        <v>251</v>
      </c>
      <c r="G107">
        <v>673.9</v>
      </c>
      <c r="H107">
        <v>3</v>
      </c>
      <c r="I107">
        <v>76.430000000000007</v>
      </c>
      <c r="J107" t="s">
        <v>24</v>
      </c>
      <c r="K107" s="6">
        <f>tblSales[[#This Row],[Profit]]/tblSales[[#This Row],[Sales]]</f>
        <v>0.11341445318296485</v>
      </c>
      <c r="L107" t="str">
        <f>TEXT(tblSales[[#This Row],[Order Date]],"mmm")</f>
        <v>Jul</v>
      </c>
      <c r="M107">
        <f>YEAR(tblSales[[#This Row],[Order Date]])</f>
        <v>2022</v>
      </c>
    </row>
    <row r="108" spans="1:13">
      <c r="A108" t="s">
        <v>252</v>
      </c>
      <c r="B108" s="1">
        <v>44770</v>
      </c>
      <c r="C108" t="s">
        <v>33</v>
      </c>
      <c r="D108" t="s">
        <v>73</v>
      </c>
      <c r="E108" t="s">
        <v>84</v>
      </c>
      <c r="F108" t="s">
        <v>253</v>
      </c>
      <c r="G108">
        <v>131.47999999999999</v>
      </c>
      <c r="H108">
        <v>8</v>
      </c>
      <c r="I108">
        <v>10.44</v>
      </c>
      <c r="J108" t="s">
        <v>29</v>
      </c>
      <c r="K108" s="6">
        <f>tblSales[[#This Row],[Profit]]/tblSales[[#This Row],[Sales]]</f>
        <v>7.9403711591116519E-2</v>
      </c>
      <c r="L108" t="str">
        <f>TEXT(tblSales[[#This Row],[Order Date]],"mmm")</f>
        <v>Jul</v>
      </c>
      <c r="M108">
        <f>YEAR(tblSales[[#This Row],[Order Date]])</f>
        <v>2022</v>
      </c>
    </row>
    <row r="109" spans="1:13">
      <c r="A109" t="s">
        <v>254</v>
      </c>
      <c r="B109" s="1">
        <v>44771</v>
      </c>
      <c r="C109" t="s">
        <v>20</v>
      </c>
      <c r="D109" t="s">
        <v>73</v>
      </c>
      <c r="E109" t="s">
        <v>74</v>
      </c>
      <c r="F109" t="s">
        <v>255</v>
      </c>
      <c r="G109">
        <v>1497.17</v>
      </c>
      <c r="H109">
        <v>9</v>
      </c>
      <c r="I109">
        <v>215.17</v>
      </c>
      <c r="J109" t="s">
        <v>24</v>
      </c>
      <c r="K109" s="6">
        <f>tblSales[[#This Row],[Profit]]/tblSales[[#This Row],[Sales]]</f>
        <v>0.14371781427626787</v>
      </c>
      <c r="L109" t="str">
        <f>TEXT(tblSales[[#This Row],[Order Date]],"mmm")</f>
        <v>Jul</v>
      </c>
      <c r="M109">
        <f>YEAR(tblSales[[#This Row],[Order Date]])</f>
        <v>2022</v>
      </c>
    </row>
    <row r="110" spans="1:13">
      <c r="A110" t="s">
        <v>256</v>
      </c>
      <c r="B110" s="1">
        <v>44772</v>
      </c>
      <c r="C110" t="s">
        <v>39</v>
      </c>
      <c r="D110" t="s">
        <v>26</v>
      </c>
      <c r="E110" t="s">
        <v>49</v>
      </c>
      <c r="F110" t="s">
        <v>257</v>
      </c>
      <c r="G110">
        <v>1739.83</v>
      </c>
      <c r="H110">
        <v>6</v>
      </c>
      <c r="I110">
        <v>276.77999999999997</v>
      </c>
      <c r="J110" t="s">
        <v>29</v>
      </c>
      <c r="K110" s="6">
        <f>tblSales[[#This Row],[Profit]]/tblSales[[#This Row],[Sales]]</f>
        <v>0.15908450825655379</v>
      </c>
      <c r="L110" t="str">
        <f>TEXT(tblSales[[#This Row],[Order Date]],"mmm")</f>
        <v>Jul</v>
      </c>
      <c r="M110">
        <f>YEAR(tblSales[[#This Row],[Order Date]])</f>
        <v>2022</v>
      </c>
    </row>
    <row r="111" spans="1:13">
      <c r="A111" t="s">
        <v>258</v>
      </c>
      <c r="B111" s="1">
        <v>44773</v>
      </c>
      <c r="C111" t="s">
        <v>39</v>
      </c>
      <c r="D111" t="s">
        <v>15</v>
      </c>
      <c r="E111" t="s">
        <v>60</v>
      </c>
      <c r="F111" t="s">
        <v>259</v>
      </c>
      <c r="G111">
        <v>1956.24</v>
      </c>
      <c r="H111">
        <v>5</v>
      </c>
      <c r="I111">
        <v>119.04</v>
      </c>
      <c r="J111" t="s">
        <v>29</v>
      </c>
      <c r="K111" s="6">
        <f>tblSales[[#This Row],[Profit]]/tblSales[[#This Row],[Sales]]</f>
        <v>6.0851429272481904E-2</v>
      </c>
      <c r="L111" t="str">
        <f>TEXT(tblSales[[#This Row],[Order Date]],"mmm")</f>
        <v>Jul</v>
      </c>
      <c r="M111">
        <f>YEAR(tblSales[[#This Row],[Order Date]])</f>
        <v>2022</v>
      </c>
    </row>
    <row r="112" spans="1:13">
      <c r="A112" t="s">
        <v>260</v>
      </c>
      <c r="B112" s="1">
        <v>44774</v>
      </c>
      <c r="C112" t="s">
        <v>33</v>
      </c>
      <c r="D112" t="s">
        <v>21</v>
      </c>
      <c r="E112" t="s">
        <v>57</v>
      </c>
      <c r="F112" t="s">
        <v>261</v>
      </c>
      <c r="G112">
        <v>1116.6300000000001</v>
      </c>
      <c r="H112">
        <v>4</v>
      </c>
      <c r="I112">
        <v>76.89</v>
      </c>
      <c r="J112" t="s">
        <v>18</v>
      </c>
      <c r="K112" s="6">
        <f>tblSales[[#This Row],[Profit]]/tblSales[[#This Row],[Sales]]</f>
        <v>6.8858977458961329E-2</v>
      </c>
      <c r="L112" t="str">
        <f>TEXT(tblSales[[#This Row],[Order Date]],"mmm")</f>
        <v>Aug</v>
      </c>
      <c r="M112">
        <f>YEAR(tblSales[[#This Row],[Order Date]])</f>
        <v>2022</v>
      </c>
    </row>
    <row r="113" spans="1:13">
      <c r="A113" t="s">
        <v>262</v>
      </c>
      <c r="B113" s="1">
        <v>44775</v>
      </c>
      <c r="C113" t="s">
        <v>39</v>
      </c>
      <c r="D113" t="s">
        <v>26</v>
      </c>
      <c r="E113" t="s">
        <v>34</v>
      </c>
      <c r="F113" t="s">
        <v>263</v>
      </c>
      <c r="G113">
        <v>1397.58</v>
      </c>
      <c r="H113">
        <v>1</v>
      </c>
      <c r="I113">
        <v>289.14</v>
      </c>
      <c r="J113" t="s">
        <v>29</v>
      </c>
      <c r="K113" s="6">
        <f>tblSales[[#This Row],[Profit]]/tblSales[[#This Row],[Sales]]</f>
        <v>0.20688618898381489</v>
      </c>
      <c r="L113" t="str">
        <f>TEXT(tblSales[[#This Row],[Order Date]],"mmm")</f>
        <v>Aug</v>
      </c>
      <c r="M113">
        <f>YEAR(tblSales[[#This Row],[Order Date]])</f>
        <v>2022</v>
      </c>
    </row>
    <row r="114" spans="1:13">
      <c r="A114" t="s">
        <v>264</v>
      </c>
      <c r="B114" s="1">
        <v>44776</v>
      </c>
      <c r="C114" t="s">
        <v>20</v>
      </c>
      <c r="D114" t="s">
        <v>15</v>
      </c>
      <c r="E114" t="s">
        <v>16</v>
      </c>
      <c r="F114" t="s">
        <v>265</v>
      </c>
      <c r="G114">
        <v>1479.46</v>
      </c>
      <c r="H114">
        <v>8</v>
      </c>
      <c r="I114">
        <v>219.89</v>
      </c>
      <c r="J114" t="s">
        <v>24</v>
      </c>
      <c r="K114" s="6">
        <f>tblSales[[#This Row],[Profit]]/tblSales[[#This Row],[Sales]]</f>
        <v>0.14862855366147107</v>
      </c>
      <c r="L114" t="str">
        <f>TEXT(tblSales[[#This Row],[Order Date]],"mmm")</f>
        <v>Aug</v>
      </c>
      <c r="M114">
        <f>YEAR(tblSales[[#This Row],[Order Date]])</f>
        <v>2022</v>
      </c>
    </row>
    <row r="115" spans="1:13">
      <c r="A115" t="s">
        <v>266</v>
      </c>
      <c r="B115" s="1">
        <v>44777</v>
      </c>
      <c r="C115" t="s">
        <v>20</v>
      </c>
      <c r="D115" t="s">
        <v>73</v>
      </c>
      <c r="E115" t="s">
        <v>164</v>
      </c>
      <c r="F115" t="s">
        <v>267</v>
      </c>
      <c r="G115">
        <v>684.61</v>
      </c>
      <c r="H115">
        <v>4</v>
      </c>
      <c r="I115">
        <v>113.59</v>
      </c>
      <c r="J115" t="s">
        <v>18</v>
      </c>
      <c r="K115" s="6">
        <f>tblSales[[#This Row],[Profit]]/tblSales[[#This Row],[Sales]]</f>
        <v>0.16591928251121077</v>
      </c>
      <c r="L115" t="str">
        <f>TEXT(tblSales[[#This Row],[Order Date]],"mmm")</f>
        <v>Aug</v>
      </c>
      <c r="M115">
        <f>YEAR(tblSales[[#This Row],[Order Date]])</f>
        <v>2022</v>
      </c>
    </row>
    <row r="116" spans="1:13">
      <c r="A116" t="s">
        <v>268</v>
      </c>
      <c r="B116" s="1">
        <v>44778</v>
      </c>
      <c r="C116" t="s">
        <v>14</v>
      </c>
      <c r="D116" t="s">
        <v>21</v>
      </c>
      <c r="E116" t="s">
        <v>89</v>
      </c>
      <c r="F116" t="s">
        <v>269</v>
      </c>
      <c r="G116">
        <v>1175.6400000000001</v>
      </c>
      <c r="H116">
        <v>5</v>
      </c>
      <c r="I116">
        <v>345.17</v>
      </c>
      <c r="J116" t="s">
        <v>24</v>
      </c>
      <c r="K116" s="6">
        <f>tblSales[[#This Row],[Profit]]/tblSales[[#This Row],[Sales]]</f>
        <v>0.29360178285869826</v>
      </c>
      <c r="L116" t="str">
        <f>TEXT(tblSales[[#This Row],[Order Date]],"mmm")</f>
        <v>Aug</v>
      </c>
      <c r="M116">
        <f>YEAR(tblSales[[#This Row],[Order Date]])</f>
        <v>2022</v>
      </c>
    </row>
    <row r="117" spans="1:13">
      <c r="A117" t="s">
        <v>270</v>
      </c>
      <c r="B117" s="1">
        <v>44779</v>
      </c>
      <c r="C117" t="s">
        <v>39</v>
      </c>
      <c r="D117" t="s">
        <v>40</v>
      </c>
      <c r="E117" t="s">
        <v>41</v>
      </c>
      <c r="F117" t="s">
        <v>271</v>
      </c>
      <c r="G117">
        <v>1402.36</v>
      </c>
      <c r="H117">
        <v>1</v>
      </c>
      <c r="I117">
        <v>168.2</v>
      </c>
      <c r="J117" t="s">
        <v>18</v>
      </c>
      <c r="K117" s="6">
        <f>tblSales[[#This Row],[Profit]]/tblSales[[#This Row],[Sales]]</f>
        <v>0.11994067143957329</v>
      </c>
      <c r="L117" t="str">
        <f>TEXT(tblSales[[#This Row],[Order Date]],"mmm")</f>
        <v>Aug</v>
      </c>
      <c r="M117">
        <f>YEAR(tblSales[[#This Row],[Order Date]])</f>
        <v>2022</v>
      </c>
    </row>
    <row r="118" spans="1:13">
      <c r="A118" t="s">
        <v>272</v>
      </c>
      <c r="B118" s="1">
        <v>44780</v>
      </c>
      <c r="C118" t="s">
        <v>14</v>
      </c>
      <c r="D118" t="s">
        <v>40</v>
      </c>
      <c r="E118" t="s">
        <v>41</v>
      </c>
      <c r="F118" t="s">
        <v>273</v>
      </c>
      <c r="G118">
        <v>283.70999999999998</v>
      </c>
      <c r="H118">
        <v>3</v>
      </c>
      <c r="I118">
        <v>72.53</v>
      </c>
      <c r="J118" t="s">
        <v>18</v>
      </c>
      <c r="K118" s="6">
        <f>tblSales[[#This Row],[Profit]]/tblSales[[#This Row],[Sales]]</f>
        <v>0.25564837333897289</v>
      </c>
      <c r="L118" t="str">
        <f>TEXT(tblSales[[#This Row],[Order Date]],"mmm")</f>
        <v>Aug</v>
      </c>
      <c r="M118">
        <f>YEAR(tblSales[[#This Row],[Order Date]])</f>
        <v>2022</v>
      </c>
    </row>
    <row r="119" spans="1:13">
      <c r="A119" t="s">
        <v>274</v>
      </c>
      <c r="B119" s="1">
        <v>44781</v>
      </c>
      <c r="C119" t="s">
        <v>33</v>
      </c>
      <c r="D119" t="s">
        <v>40</v>
      </c>
      <c r="E119" t="s">
        <v>44</v>
      </c>
      <c r="F119" t="s">
        <v>275</v>
      </c>
      <c r="G119">
        <v>1456.92</v>
      </c>
      <c r="H119">
        <v>9</v>
      </c>
      <c r="I119">
        <v>225.18</v>
      </c>
      <c r="J119" t="s">
        <v>29</v>
      </c>
      <c r="K119" s="6">
        <f>tblSales[[#This Row],[Profit]]/tblSales[[#This Row],[Sales]]</f>
        <v>0.15455893254262415</v>
      </c>
      <c r="L119" t="str">
        <f>TEXT(tblSales[[#This Row],[Order Date]],"mmm")</f>
        <v>Aug</v>
      </c>
      <c r="M119">
        <f>YEAR(tblSales[[#This Row],[Order Date]])</f>
        <v>2022</v>
      </c>
    </row>
    <row r="120" spans="1:13">
      <c r="A120" t="s">
        <v>276</v>
      </c>
      <c r="B120" s="1">
        <v>44782</v>
      </c>
      <c r="C120" t="s">
        <v>33</v>
      </c>
      <c r="D120" t="s">
        <v>15</v>
      </c>
      <c r="E120" t="s">
        <v>60</v>
      </c>
      <c r="F120" t="s">
        <v>277</v>
      </c>
      <c r="G120">
        <v>346.37</v>
      </c>
      <c r="H120">
        <v>8</v>
      </c>
      <c r="I120">
        <v>49.92</v>
      </c>
      <c r="J120" t="s">
        <v>29</v>
      </c>
      <c r="K120" s="6">
        <f>tblSales[[#This Row],[Profit]]/tblSales[[#This Row],[Sales]]</f>
        <v>0.14412333631665561</v>
      </c>
      <c r="L120" t="str">
        <f>TEXT(tblSales[[#This Row],[Order Date]],"mmm")</f>
        <v>Aug</v>
      </c>
      <c r="M120">
        <f>YEAR(tblSales[[#This Row],[Order Date]])</f>
        <v>2022</v>
      </c>
    </row>
    <row r="121" spans="1:13">
      <c r="A121" t="s">
        <v>278</v>
      </c>
      <c r="B121" s="1">
        <v>44783</v>
      </c>
      <c r="C121" t="s">
        <v>39</v>
      </c>
      <c r="D121" t="s">
        <v>26</v>
      </c>
      <c r="E121" t="s">
        <v>34</v>
      </c>
      <c r="F121" t="s">
        <v>279</v>
      </c>
      <c r="G121">
        <v>1974.81</v>
      </c>
      <c r="H121">
        <v>1</v>
      </c>
      <c r="I121">
        <v>284.74</v>
      </c>
      <c r="J121" t="s">
        <v>18</v>
      </c>
      <c r="K121" s="6">
        <f>tblSales[[#This Row],[Profit]]/tblSales[[#This Row],[Sales]]</f>
        <v>0.14418602295917077</v>
      </c>
      <c r="L121" t="str">
        <f>TEXT(tblSales[[#This Row],[Order Date]],"mmm")</f>
        <v>Aug</v>
      </c>
      <c r="M121">
        <f>YEAR(tblSales[[#This Row],[Order Date]])</f>
        <v>2022</v>
      </c>
    </row>
    <row r="122" spans="1:13">
      <c r="A122" t="s">
        <v>280</v>
      </c>
      <c r="B122" s="1">
        <v>44784</v>
      </c>
      <c r="C122" t="s">
        <v>33</v>
      </c>
      <c r="D122" t="s">
        <v>21</v>
      </c>
      <c r="E122" t="s">
        <v>22</v>
      </c>
      <c r="F122" t="s">
        <v>281</v>
      </c>
      <c r="G122">
        <v>798.12</v>
      </c>
      <c r="H122">
        <v>1</v>
      </c>
      <c r="I122">
        <v>207.18</v>
      </c>
      <c r="J122" t="s">
        <v>29</v>
      </c>
      <c r="K122" s="6">
        <f>tblSales[[#This Row],[Profit]]/tblSales[[#This Row],[Sales]]</f>
        <v>0.25958502480829954</v>
      </c>
      <c r="L122" t="str">
        <f>TEXT(tblSales[[#This Row],[Order Date]],"mmm")</f>
        <v>Aug</v>
      </c>
      <c r="M122">
        <f>YEAR(tblSales[[#This Row],[Order Date]])</f>
        <v>2022</v>
      </c>
    </row>
    <row r="123" spans="1:13">
      <c r="A123" t="s">
        <v>282</v>
      </c>
      <c r="B123" s="1">
        <v>44785</v>
      </c>
      <c r="C123" t="s">
        <v>33</v>
      </c>
      <c r="D123" t="s">
        <v>40</v>
      </c>
      <c r="E123" t="s">
        <v>44</v>
      </c>
      <c r="F123" t="s">
        <v>283</v>
      </c>
      <c r="G123">
        <v>841.34</v>
      </c>
      <c r="H123">
        <v>1</v>
      </c>
      <c r="I123">
        <v>44.94</v>
      </c>
      <c r="J123" t="s">
        <v>18</v>
      </c>
      <c r="K123" s="6">
        <f>tblSales[[#This Row],[Profit]]/tblSales[[#This Row],[Sales]]</f>
        <v>5.3414790691040478E-2</v>
      </c>
      <c r="L123" t="str">
        <f>TEXT(tblSales[[#This Row],[Order Date]],"mmm")</f>
        <v>Aug</v>
      </c>
      <c r="M123">
        <f>YEAR(tblSales[[#This Row],[Order Date]])</f>
        <v>2022</v>
      </c>
    </row>
    <row r="124" spans="1:13">
      <c r="A124" t="s">
        <v>284</v>
      </c>
      <c r="B124" s="1">
        <v>44786</v>
      </c>
      <c r="C124" t="s">
        <v>33</v>
      </c>
      <c r="D124" t="s">
        <v>40</v>
      </c>
      <c r="E124" t="s">
        <v>44</v>
      </c>
      <c r="F124" t="s">
        <v>285</v>
      </c>
      <c r="G124">
        <v>1999.44</v>
      </c>
      <c r="H124">
        <v>6</v>
      </c>
      <c r="I124">
        <v>556.42999999999995</v>
      </c>
      <c r="J124" t="s">
        <v>24</v>
      </c>
      <c r="K124" s="6">
        <f>tblSales[[#This Row],[Profit]]/tblSales[[#This Row],[Sales]]</f>
        <v>0.27829292201816508</v>
      </c>
      <c r="L124" t="str">
        <f>TEXT(tblSales[[#This Row],[Order Date]],"mmm")</f>
        <v>Aug</v>
      </c>
      <c r="M124">
        <f>YEAR(tblSales[[#This Row],[Order Date]])</f>
        <v>2022</v>
      </c>
    </row>
    <row r="125" spans="1:13">
      <c r="A125" t="s">
        <v>286</v>
      </c>
      <c r="B125" s="1">
        <v>44787</v>
      </c>
      <c r="C125" t="s">
        <v>39</v>
      </c>
      <c r="D125" t="s">
        <v>15</v>
      </c>
      <c r="E125" t="s">
        <v>60</v>
      </c>
      <c r="F125" t="s">
        <v>287</v>
      </c>
      <c r="G125">
        <v>1890.64</v>
      </c>
      <c r="H125">
        <v>3</v>
      </c>
      <c r="I125">
        <v>211.44</v>
      </c>
      <c r="J125" t="s">
        <v>18</v>
      </c>
      <c r="K125" s="6">
        <f>tblSales[[#This Row],[Profit]]/tblSales[[#This Row],[Sales]]</f>
        <v>0.11183514577074428</v>
      </c>
      <c r="L125" t="str">
        <f>TEXT(tblSales[[#This Row],[Order Date]],"mmm")</f>
        <v>Aug</v>
      </c>
      <c r="M125">
        <f>YEAR(tblSales[[#This Row],[Order Date]])</f>
        <v>2022</v>
      </c>
    </row>
    <row r="126" spans="1:13">
      <c r="A126" t="s">
        <v>288</v>
      </c>
      <c r="B126" s="1">
        <v>44788</v>
      </c>
      <c r="C126" t="s">
        <v>33</v>
      </c>
      <c r="D126" t="s">
        <v>21</v>
      </c>
      <c r="E126" t="s">
        <v>57</v>
      </c>
      <c r="F126" t="s">
        <v>289</v>
      </c>
      <c r="G126">
        <v>517.86</v>
      </c>
      <c r="H126">
        <v>4</v>
      </c>
      <c r="I126">
        <v>55.49</v>
      </c>
      <c r="J126" t="s">
        <v>24</v>
      </c>
      <c r="K126" s="6">
        <f>tblSales[[#This Row],[Profit]]/tblSales[[#This Row],[Sales]]</f>
        <v>0.10715251226200131</v>
      </c>
      <c r="L126" t="str">
        <f>TEXT(tblSales[[#This Row],[Order Date]],"mmm")</f>
        <v>Aug</v>
      </c>
      <c r="M126">
        <f>YEAR(tblSales[[#This Row],[Order Date]])</f>
        <v>2022</v>
      </c>
    </row>
    <row r="127" spans="1:13">
      <c r="A127" t="s">
        <v>290</v>
      </c>
      <c r="B127" s="1">
        <v>44789</v>
      </c>
      <c r="C127" t="s">
        <v>33</v>
      </c>
      <c r="D127" t="s">
        <v>26</v>
      </c>
      <c r="E127" t="s">
        <v>27</v>
      </c>
      <c r="F127" t="s">
        <v>291</v>
      </c>
      <c r="G127">
        <v>112.86</v>
      </c>
      <c r="H127">
        <v>8</v>
      </c>
      <c r="I127">
        <v>6.27</v>
      </c>
      <c r="J127" t="s">
        <v>18</v>
      </c>
      <c r="K127" s="6">
        <f>tblSales[[#This Row],[Profit]]/tblSales[[#This Row],[Sales]]</f>
        <v>5.5555555555555552E-2</v>
      </c>
      <c r="L127" t="str">
        <f>TEXT(tblSales[[#This Row],[Order Date]],"mmm")</f>
        <v>Aug</v>
      </c>
      <c r="M127">
        <f>YEAR(tblSales[[#This Row],[Order Date]])</f>
        <v>2022</v>
      </c>
    </row>
    <row r="128" spans="1:13">
      <c r="A128" t="s">
        <v>292</v>
      </c>
      <c r="B128" s="1">
        <v>44790</v>
      </c>
      <c r="C128" t="s">
        <v>39</v>
      </c>
      <c r="D128" t="s">
        <v>73</v>
      </c>
      <c r="E128" t="s">
        <v>74</v>
      </c>
      <c r="F128" t="s">
        <v>293</v>
      </c>
      <c r="G128">
        <v>962.9</v>
      </c>
      <c r="H128">
        <v>3</v>
      </c>
      <c r="I128">
        <v>173.36</v>
      </c>
      <c r="J128" t="s">
        <v>18</v>
      </c>
      <c r="K128" s="6">
        <f>tblSales[[#This Row],[Profit]]/tblSales[[#This Row],[Sales]]</f>
        <v>0.18003946411880778</v>
      </c>
      <c r="L128" t="str">
        <f>TEXT(tblSales[[#This Row],[Order Date]],"mmm")</f>
        <v>Aug</v>
      </c>
      <c r="M128">
        <f>YEAR(tblSales[[#This Row],[Order Date]])</f>
        <v>2022</v>
      </c>
    </row>
    <row r="129" spans="1:13">
      <c r="A129" t="s">
        <v>294</v>
      </c>
      <c r="B129" s="1">
        <v>44791</v>
      </c>
      <c r="C129" t="s">
        <v>20</v>
      </c>
      <c r="D129" t="s">
        <v>26</v>
      </c>
      <c r="E129" t="s">
        <v>27</v>
      </c>
      <c r="F129" t="s">
        <v>295</v>
      </c>
      <c r="G129">
        <v>1112.78</v>
      </c>
      <c r="H129">
        <v>5</v>
      </c>
      <c r="I129">
        <v>80.23</v>
      </c>
      <c r="J129" t="s">
        <v>18</v>
      </c>
      <c r="K129" s="6">
        <f>tblSales[[#This Row],[Profit]]/tblSales[[#This Row],[Sales]]</f>
        <v>7.2098707740973059E-2</v>
      </c>
      <c r="L129" t="str">
        <f>TEXT(tblSales[[#This Row],[Order Date]],"mmm")</f>
        <v>Aug</v>
      </c>
      <c r="M129">
        <f>YEAR(tblSales[[#This Row],[Order Date]])</f>
        <v>2022</v>
      </c>
    </row>
    <row r="130" spans="1:13">
      <c r="A130" t="s">
        <v>296</v>
      </c>
      <c r="B130" s="1">
        <v>44792</v>
      </c>
      <c r="C130" t="s">
        <v>14</v>
      </c>
      <c r="D130" t="s">
        <v>73</v>
      </c>
      <c r="E130" t="s">
        <v>84</v>
      </c>
      <c r="F130" t="s">
        <v>297</v>
      </c>
      <c r="G130">
        <v>970.49</v>
      </c>
      <c r="H130">
        <v>7</v>
      </c>
      <c r="I130">
        <v>231.74</v>
      </c>
      <c r="J130" t="s">
        <v>18</v>
      </c>
      <c r="K130" s="6">
        <f>tblSales[[#This Row],[Profit]]/tblSales[[#This Row],[Sales]]</f>
        <v>0.238786592339952</v>
      </c>
      <c r="L130" t="str">
        <f>TEXT(tblSales[[#This Row],[Order Date]],"mmm")</f>
        <v>Aug</v>
      </c>
      <c r="M130">
        <f>YEAR(tblSales[[#This Row],[Order Date]])</f>
        <v>2022</v>
      </c>
    </row>
    <row r="131" spans="1:13">
      <c r="A131" t="s">
        <v>298</v>
      </c>
      <c r="B131" s="1">
        <v>44793</v>
      </c>
      <c r="C131" t="s">
        <v>33</v>
      </c>
      <c r="D131" t="s">
        <v>26</v>
      </c>
      <c r="E131" t="s">
        <v>49</v>
      </c>
      <c r="F131" t="s">
        <v>299</v>
      </c>
      <c r="G131">
        <v>441.67</v>
      </c>
      <c r="H131">
        <v>6</v>
      </c>
      <c r="I131">
        <v>90.24</v>
      </c>
      <c r="J131" t="s">
        <v>18</v>
      </c>
      <c r="K131" s="6">
        <f>tblSales[[#This Row],[Profit]]/tblSales[[#This Row],[Sales]]</f>
        <v>0.20431543912876127</v>
      </c>
      <c r="L131" t="str">
        <f>TEXT(tblSales[[#This Row],[Order Date]],"mmm")</f>
        <v>Aug</v>
      </c>
      <c r="M131">
        <f>YEAR(tblSales[[#This Row],[Order Date]])</f>
        <v>2022</v>
      </c>
    </row>
    <row r="132" spans="1:13">
      <c r="A132" t="s">
        <v>300</v>
      </c>
      <c r="B132" s="1">
        <v>44794</v>
      </c>
      <c r="C132" t="s">
        <v>39</v>
      </c>
      <c r="D132" t="s">
        <v>26</v>
      </c>
      <c r="E132" t="s">
        <v>49</v>
      </c>
      <c r="F132" t="s">
        <v>301</v>
      </c>
      <c r="G132">
        <v>1280.56</v>
      </c>
      <c r="H132">
        <v>3</v>
      </c>
      <c r="I132">
        <v>353.49</v>
      </c>
      <c r="J132" t="s">
        <v>18</v>
      </c>
      <c r="K132" s="6">
        <f>tblSales[[#This Row],[Profit]]/tblSales[[#This Row],[Sales]]</f>
        <v>0.27604329355906793</v>
      </c>
      <c r="L132" t="str">
        <f>TEXT(tblSales[[#This Row],[Order Date]],"mmm")</f>
        <v>Aug</v>
      </c>
      <c r="M132">
        <f>YEAR(tblSales[[#This Row],[Order Date]])</f>
        <v>2022</v>
      </c>
    </row>
    <row r="133" spans="1:13">
      <c r="A133" t="s">
        <v>302</v>
      </c>
      <c r="B133" s="1">
        <v>44795</v>
      </c>
      <c r="C133" t="s">
        <v>33</v>
      </c>
      <c r="D133" t="s">
        <v>21</v>
      </c>
      <c r="E133" t="s">
        <v>22</v>
      </c>
      <c r="F133" t="s">
        <v>303</v>
      </c>
      <c r="G133">
        <v>912.8</v>
      </c>
      <c r="H133">
        <v>7</v>
      </c>
      <c r="I133">
        <v>165.13</v>
      </c>
      <c r="J133" t="s">
        <v>29</v>
      </c>
      <c r="K133" s="6">
        <f>tblSales[[#This Row],[Profit]]/tblSales[[#This Row],[Sales]]</f>
        <v>0.18090490797546013</v>
      </c>
      <c r="L133" t="str">
        <f>TEXT(tblSales[[#This Row],[Order Date]],"mmm")</f>
        <v>Aug</v>
      </c>
      <c r="M133">
        <f>YEAR(tblSales[[#This Row],[Order Date]])</f>
        <v>2022</v>
      </c>
    </row>
    <row r="134" spans="1:13">
      <c r="A134" t="s">
        <v>304</v>
      </c>
      <c r="B134" s="1">
        <v>44796</v>
      </c>
      <c r="C134" t="s">
        <v>14</v>
      </c>
      <c r="D134" t="s">
        <v>40</v>
      </c>
      <c r="E134" t="s">
        <v>92</v>
      </c>
      <c r="F134" t="s">
        <v>305</v>
      </c>
      <c r="G134">
        <v>1597.01</v>
      </c>
      <c r="H134">
        <v>8</v>
      </c>
      <c r="I134">
        <v>416.06</v>
      </c>
      <c r="J134" t="s">
        <v>29</v>
      </c>
      <c r="K134" s="6">
        <f>tblSales[[#This Row],[Profit]]/tblSales[[#This Row],[Sales]]</f>
        <v>0.26052435488819731</v>
      </c>
      <c r="L134" t="str">
        <f>TEXT(tblSales[[#This Row],[Order Date]],"mmm")</f>
        <v>Aug</v>
      </c>
      <c r="M134">
        <f>YEAR(tblSales[[#This Row],[Order Date]])</f>
        <v>2022</v>
      </c>
    </row>
    <row r="135" spans="1:13">
      <c r="A135" t="s">
        <v>306</v>
      </c>
      <c r="B135" s="1">
        <v>44797</v>
      </c>
      <c r="C135" t="s">
        <v>39</v>
      </c>
      <c r="D135" t="s">
        <v>73</v>
      </c>
      <c r="E135" t="s">
        <v>84</v>
      </c>
      <c r="F135" t="s">
        <v>209</v>
      </c>
      <c r="G135">
        <v>929.09</v>
      </c>
      <c r="H135">
        <v>2</v>
      </c>
      <c r="I135">
        <v>190.65</v>
      </c>
      <c r="J135" t="s">
        <v>24</v>
      </c>
      <c r="K135" s="6">
        <f>tblSales[[#This Row],[Profit]]/tblSales[[#This Row],[Sales]]</f>
        <v>0.20520078786769849</v>
      </c>
      <c r="L135" t="str">
        <f>TEXT(tblSales[[#This Row],[Order Date]],"mmm")</f>
        <v>Aug</v>
      </c>
      <c r="M135">
        <f>YEAR(tblSales[[#This Row],[Order Date]])</f>
        <v>2022</v>
      </c>
    </row>
    <row r="136" spans="1:13">
      <c r="A136" t="s">
        <v>307</v>
      </c>
      <c r="B136" s="1">
        <v>44798</v>
      </c>
      <c r="C136" t="s">
        <v>14</v>
      </c>
      <c r="D136" t="s">
        <v>40</v>
      </c>
      <c r="E136" t="s">
        <v>41</v>
      </c>
      <c r="F136" t="s">
        <v>308</v>
      </c>
      <c r="G136">
        <v>1274.1300000000001</v>
      </c>
      <c r="H136">
        <v>3</v>
      </c>
      <c r="I136">
        <v>234.84</v>
      </c>
      <c r="J136" t="s">
        <v>24</v>
      </c>
      <c r="K136" s="6">
        <f>tblSales[[#This Row],[Profit]]/tblSales[[#This Row],[Sales]]</f>
        <v>0.18431400249582067</v>
      </c>
      <c r="L136" t="str">
        <f>TEXT(tblSales[[#This Row],[Order Date]],"mmm")</f>
        <v>Aug</v>
      </c>
      <c r="M136">
        <f>YEAR(tblSales[[#This Row],[Order Date]])</f>
        <v>2022</v>
      </c>
    </row>
    <row r="137" spans="1:13">
      <c r="A137" t="s">
        <v>309</v>
      </c>
      <c r="B137" s="1">
        <v>44799</v>
      </c>
      <c r="C137" t="s">
        <v>14</v>
      </c>
      <c r="D137" t="s">
        <v>15</v>
      </c>
      <c r="E137" t="s">
        <v>16</v>
      </c>
      <c r="F137" t="s">
        <v>310</v>
      </c>
      <c r="G137">
        <v>1177.8399999999999</v>
      </c>
      <c r="H137">
        <v>6</v>
      </c>
      <c r="I137">
        <v>264.33</v>
      </c>
      <c r="J137" t="s">
        <v>29</v>
      </c>
      <c r="K137" s="6">
        <f>tblSales[[#This Row],[Profit]]/tblSales[[#This Row],[Sales]]</f>
        <v>0.22441927596277933</v>
      </c>
      <c r="L137" t="str">
        <f>TEXT(tblSales[[#This Row],[Order Date]],"mmm")</f>
        <v>Aug</v>
      </c>
      <c r="M137">
        <f>YEAR(tblSales[[#This Row],[Order Date]])</f>
        <v>2022</v>
      </c>
    </row>
    <row r="138" spans="1:13">
      <c r="A138" t="s">
        <v>311</v>
      </c>
      <c r="B138" s="1">
        <v>44800</v>
      </c>
      <c r="C138" t="s">
        <v>33</v>
      </c>
      <c r="D138" t="s">
        <v>21</v>
      </c>
      <c r="E138" t="s">
        <v>89</v>
      </c>
      <c r="F138" t="s">
        <v>312</v>
      </c>
      <c r="G138">
        <v>704.42</v>
      </c>
      <c r="H138">
        <v>3</v>
      </c>
      <c r="I138">
        <v>189.19</v>
      </c>
      <c r="J138" t="s">
        <v>29</v>
      </c>
      <c r="K138" s="6">
        <f>tblSales[[#This Row],[Profit]]/tblSales[[#This Row],[Sales]]</f>
        <v>0.26857556571363678</v>
      </c>
      <c r="L138" t="str">
        <f>TEXT(tblSales[[#This Row],[Order Date]],"mmm")</f>
        <v>Aug</v>
      </c>
      <c r="M138">
        <f>YEAR(tblSales[[#This Row],[Order Date]])</f>
        <v>2022</v>
      </c>
    </row>
    <row r="139" spans="1:13">
      <c r="A139" t="s">
        <v>313</v>
      </c>
      <c r="B139" s="1">
        <v>44801</v>
      </c>
      <c r="C139" t="s">
        <v>20</v>
      </c>
      <c r="D139" t="s">
        <v>26</v>
      </c>
      <c r="E139" t="s">
        <v>49</v>
      </c>
      <c r="F139" t="s">
        <v>314</v>
      </c>
      <c r="G139">
        <v>1946.76</v>
      </c>
      <c r="H139">
        <v>3</v>
      </c>
      <c r="I139">
        <v>117.23</v>
      </c>
      <c r="J139" t="s">
        <v>24</v>
      </c>
      <c r="K139" s="6">
        <f>tblSales[[#This Row],[Profit]]/tblSales[[#This Row],[Sales]]</f>
        <v>6.0218003246419696E-2</v>
      </c>
      <c r="L139" t="str">
        <f>TEXT(tblSales[[#This Row],[Order Date]],"mmm")</f>
        <v>Aug</v>
      </c>
      <c r="M139">
        <f>YEAR(tblSales[[#This Row],[Order Date]])</f>
        <v>2022</v>
      </c>
    </row>
    <row r="140" spans="1:13">
      <c r="A140" t="s">
        <v>315</v>
      </c>
      <c r="B140" s="1">
        <v>44802</v>
      </c>
      <c r="C140" t="s">
        <v>14</v>
      </c>
      <c r="D140" t="s">
        <v>15</v>
      </c>
      <c r="E140" t="s">
        <v>16</v>
      </c>
      <c r="F140" t="s">
        <v>316</v>
      </c>
      <c r="G140">
        <v>708.29</v>
      </c>
      <c r="H140">
        <v>6</v>
      </c>
      <c r="I140">
        <v>51.12</v>
      </c>
      <c r="J140" t="s">
        <v>24</v>
      </c>
      <c r="K140" s="6">
        <f>tblSales[[#This Row],[Profit]]/tblSales[[#This Row],[Sales]]</f>
        <v>7.2173827104716995E-2</v>
      </c>
      <c r="L140" t="str">
        <f>TEXT(tblSales[[#This Row],[Order Date]],"mmm")</f>
        <v>Aug</v>
      </c>
      <c r="M140">
        <f>YEAR(tblSales[[#This Row],[Order Date]])</f>
        <v>2022</v>
      </c>
    </row>
    <row r="141" spans="1:13">
      <c r="A141" t="s">
        <v>317</v>
      </c>
      <c r="B141" s="1">
        <v>44803</v>
      </c>
      <c r="C141" t="s">
        <v>20</v>
      </c>
      <c r="D141" t="s">
        <v>21</v>
      </c>
      <c r="E141" t="s">
        <v>57</v>
      </c>
      <c r="F141" t="s">
        <v>318</v>
      </c>
      <c r="G141">
        <v>932.34</v>
      </c>
      <c r="H141">
        <v>2</v>
      </c>
      <c r="I141">
        <v>76.63</v>
      </c>
      <c r="J141" t="s">
        <v>18</v>
      </c>
      <c r="K141" s="6">
        <f>tblSales[[#This Row],[Profit]]/tblSales[[#This Row],[Sales]]</f>
        <v>8.219104618486818E-2</v>
      </c>
      <c r="L141" t="str">
        <f>TEXT(tblSales[[#This Row],[Order Date]],"mmm")</f>
        <v>Aug</v>
      </c>
      <c r="M141">
        <f>YEAR(tblSales[[#This Row],[Order Date]])</f>
        <v>2022</v>
      </c>
    </row>
    <row r="142" spans="1:13">
      <c r="A142" t="s">
        <v>319</v>
      </c>
      <c r="B142" s="1">
        <v>44804</v>
      </c>
      <c r="C142" t="s">
        <v>14</v>
      </c>
      <c r="D142" t="s">
        <v>21</v>
      </c>
      <c r="E142" t="s">
        <v>22</v>
      </c>
      <c r="F142" t="s">
        <v>320</v>
      </c>
      <c r="G142">
        <v>656.73</v>
      </c>
      <c r="H142">
        <v>9</v>
      </c>
      <c r="I142">
        <v>111.83</v>
      </c>
      <c r="J142" t="s">
        <v>18</v>
      </c>
      <c r="K142" s="6">
        <f>tblSales[[#This Row],[Profit]]/tblSales[[#This Row],[Sales]]</f>
        <v>0.17028306914561539</v>
      </c>
      <c r="L142" t="str">
        <f>TEXT(tblSales[[#This Row],[Order Date]],"mmm")</f>
        <v>Aug</v>
      </c>
      <c r="M142">
        <f>YEAR(tblSales[[#This Row],[Order Date]])</f>
        <v>2022</v>
      </c>
    </row>
    <row r="143" spans="1:13">
      <c r="A143" t="s">
        <v>321</v>
      </c>
      <c r="B143" s="1">
        <v>44805</v>
      </c>
      <c r="C143" t="s">
        <v>39</v>
      </c>
      <c r="D143" t="s">
        <v>73</v>
      </c>
      <c r="E143" t="s">
        <v>84</v>
      </c>
      <c r="F143" t="s">
        <v>322</v>
      </c>
      <c r="G143">
        <v>1749.69</v>
      </c>
      <c r="H143">
        <v>1</v>
      </c>
      <c r="I143">
        <v>208.6</v>
      </c>
      <c r="J143" t="s">
        <v>24</v>
      </c>
      <c r="K143" s="6">
        <f>tblSales[[#This Row],[Profit]]/tblSales[[#This Row],[Sales]]</f>
        <v>0.11922111916968148</v>
      </c>
      <c r="L143" t="str">
        <f>TEXT(tblSales[[#This Row],[Order Date]],"mmm")</f>
        <v>Sep</v>
      </c>
      <c r="M143">
        <f>YEAR(tblSales[[#This Row],[Order Date]])</f>
        <v>2022</v>
      </c>
    </row>
    <row r="144" spans="1:13">
      <c r="A144" t="s">
        <v>323</v>
      </c>
      <c r="B144" s="1">
        <v>44806</v>
      </c>
      <c r="C144" t="s">
        <v>33</v>
      </c>
      <c r="D144" t="s">
        <v>21</v>
      </c>
      <c r="E144" t="s">
        <v>57</v>
      </c>
      <c r="F144" t="s">
        <v>324</v>
      </c>
      <c r="G144">
        <v>1501.55</v>
      </c>
      <c r="H144">
        <v>4</v>
      </c>
      <c r="I144">
        <v>153.66</v>
      </c>
      <c r="J144" t="s">
        <v>29</v>
      </c>
      <c r="K144" s="6">
        <f>tblSales[[#This Row],[Profit]]/tblSales[[#This Row],[Sales]]</f>
        <v>0.1023342546035763</v>
      </c>
      <c r="L144" t="str">
        <f>TEXT(tblSales[[#This Row],[Order Date]],"mmm")</f>
        <v>Sep</v>
      </c>
      <c r="M144">
        <f>YEAR(tblSales[[#This Row],[Order Date]])</f>
        <v>2022</v>
      </c>
    </row>
    <row r="145" spans="1:13">
      <c r="A145" t="s">
        <v>325</v>
      </c>
      <c r="B145" s="1">
        <v>44807</v>
      </c>
      <c r="C145" t="s">
        <v>20</v>
      </c>
      <c r="D145" t="s">
        <v>26</v>
      </c>
      <c r="E145" t="s">
        <v>27</v>
      </c>
      <c r="F145" t="s">
        <v>326</v>
      </c>
      <c r="G145">
        <v>979.36</v>
      </c>
      <c r="H145">
        <v>7</v>
      </c>
      <c r="I145">
        <v>179.04</v>
      </c>
      <c r="J145" t="s">
        <v>24</v>
      </c>
      <c r="K145" s="6">
        <f>tblSales[[#This Row],[Profit]]/tblSales[[#This Row],[Sales]]</f>
        <v>0.1828132658062408</v>
      </c>
      <c r="L145" t="str">
        <f>TEXT(tblSales[[#This Row],[Order Date]],"mmm")</f>
        <v>Sep</v>
      </c>
      <c r="M145">
        <f>YEAR(tblSales[[#This Row],[Order Date]])</f>
        <v>2022</v>
      </c>
    </row>
    <row r="146" spans="1:13">
      <c r="A146" t="s">
        <v>327</v>
      </c>
      <c r="B146" s="1">
        <v>44808</v>
      </c>
      <c r="C146" t="s">
        <v>33</v>
      </c>
      <c r="D146" t="s">
        <v>21</v>
      </c>
      <c r="E146" t="s">
        <v>57</v>
      </c>
      <c r="F146" t="s">
        <v>328</v>
      </c>
      <c r="G146">
        <v>143.44</v>
      </c>
      <c r="H146">
        <v>8</v>
      </c>
      <c r="I146">
        <v>11.95</v>
      </c>
      <c r="J146" t="s">
        <v>24</v>
      </c>
      <c r="K146" s="6">
        <f>tblSales[[#This Row],[Profit]]/tblSales[[#This Row],[Sales]]</f>
        <v>8.3310094813162289E-2</v>
      </c>
      <c r="L146" t="str">
        <f>TEXT(tblSales[[#This Row],[Order Date]],"mmm")</f>
        <v>Sep</v>
      </c>
      <c r="M146">
        <f>YEAR(tblSales[[#This Row],[Order Date]])</f>
        <v>2022</v>
      </c>
    </row>
    <row r="147" spans="1:13">
      <c r="A147" t="s">
        <v>329</v>
      </c>
      <c r="B147" s="1">
        <v>44809</v>
      </c>
      <c r="C147" t="s">
        <v>20</v>
      </c>
      <c r="D147" t="s">
        <v>73</v>
      </c>
      <c r="E147" t="s">
        <v>74</v>
      </c>
      <c r="F147" t="s">
        <v>330</v>
      </c>
      <c r="G147">
        <v>1691.99</v>
      </c>
      <c r="H147">
        <v>2</v>
      </c>
      <c r="I147">
        <v>273.85000000000002</v>
      </c>
      <c r="J147" t="s">
        <v>24</v>
      </c>
      <c r="K147" s="6">
        <f>tblSales[[#This Row],[Profit]]/tblSales[[#This Row],[Sales]]</f>
        <v>0.16185083836192887</v>
      </c>
      <c r="L147" t="str">
        <f>TEXT(tblSales[[#This Row],[Order Date]],"mmm")</f>
        <v>Sep</v>
      </c>
      <c r="M147">
        <f>YEAR(tblSales[[#This Row],[Order Date]])</f>
        <v>2022</v>
      </c>
    </row>
    <row r="148" spans="1:13">
      <c r="A148" t="s">
        <v>331</v>
      </c>
      <c r="B148" s="1">
        <v>44810</v>
      </c>
      <c r="C148" t="s">
        <v>14</v>
      </c>
      <c r="D148" t="s">
        <v>15</v>
      </c>
      <c r="E148" t="s">
        <v>79</v>
      </c>
      <c r="F148" t="s">
        <v>332</v>
      </c>
      <c r="G148">
        <v>553.1</v>
      </c>
      <c r="H148">
        <v>5</v>
      </c>
      <c r="I148">
        <v>52.86</v>
      </c>
      <c r="J148" t="s">
        <v>24</v>
      </c>
      <c r="K148" s="6">
        <f>tblSales[[#This Row],[Profit]]/tblSales[[#This Row],[Sales]]</f>
        <v>9.5570421261977942E-2</v>
      </c>
      <c r="L148" t="str">
        <f>TEXT(tblSales[[#This Row],[Order Date]],"mmm")</f>
        <v>Sep</v>
      </c>
      <c r="M148">
        <f>YEAR(tblSales[[#This Row],[Order Date]])</f>
        <v>2022</v>
      </c>
    </row>
    <row r="149" spans="1:13">
      <c r="A149" t="s">
        <v>333</v>
      </c>
      <c r="B149" s="1">
        <v>44811</v>
      </c>
      <c r="C149" t="s">
        <v>14</v>
      </c>
      <c r="D149" t="s">
        <v>26</v>
      </c>
      <c r="E149" t="s">
        <v>49</v>
      </c>
      <c r="F149" t="s">
        <v>334</v>
      </c>
      <c r="G149">
        <v>1684.61</v>
      </c>
      <c r="H149">
        <v>6</v>
      </c>
      <c r="I149">
        <v>222.16</v>
      </c>
      <c r="J149" t="s">
        <v>18</v>
      </c>
      <c r="K149" s="6">
        <f>tblSales[[#This Row],[Profit]]/tblSales[[#This Row],[Sales]]</f>
        <v>0.13187622060892432</v>
      </c>
      <c r="L149" t="str">
        <f>TEXT(tblSales[[#This Row],[Order Date]],"mmm")</f>
        <v>Sep</v>
      </c>
      <c r="M149">
        <f>YEAR(tblSales[[#This Row],[Order Date]])</f>
        <v>2022</v>
      </c>
    </row>
    <row r="150" spans="1:13">
      <c r="A150" t="s">
        <v>335</v>
      </c>
      <c r="B150" s="1">
        <v>44812</v>
      </c>
      <c r="C150" t="s">
        <v>20</v>
      </c>
      <c r="D150" t="s">
        <v>21</v>
      </c>
      <c r="E150" t="s">
        <v>89</v>
      </c>
      <c r="F150" t="s">
        <v>336</v>
      </c>
      <c r="G150">
        <v>699</v>
      </c>
      <c r="H150">
        <v>9</v>
      </c>
      <c r="I150">
        <v>153.62</v>
      </c>
      <c r="J150" t="s">
        <v>29</v>
      </c>
      <c r="K150" s="6">
        <f>tblSales[[#This Row],[Profit]]/tblSales[[#This Row],[Sales]]</f>
        <v>0.21977110157367669</v>
      </c>
      <c r="L150" t="str">
        <f>TEXT(tblSales[[#This Row],[Order Date]],"mmm")</f>
        <v>Sep</v>
      </c>
      <c r="M150">
        <f>YEAR(tblSales[[#This Row],[Order Date]])</f>
        <v>2022</v>
      </c>
    </row>
    <row r="151" spans="1:13">
      <c r="A151" t="s">
        <v>337</v>
      </c>
      <c r="B151" s="1">
        <v>44813</v>
      </c>
      <c r="C151" t="s">
        <v>20</v>
      </c>
      <c r="D151" t="s">
        <v>40</v>
      </c>
      <c r="E151" t="s">
        <v>44</v>
      </c>
      <c r="F151" t="s">
        <v>338</v>
      </c>
      <c r="G151">
        <v>969.57</v>
      </c>
      <c r="H151">
        <v>4</v>
      </c>
      <c r="I151">
        <v>178.67</v>
      </c>
      <c r="J151" t="s">
        <v>29</v>
      </c>
      <c r="K151" s="6">
        <f>tblSales[[#This Row],[Profit]]/tblSales[[#This Row],[Sales]]</f>
        <v>0.18427756634384312</v>
      </c>
      <c r="L151" t="str">
        <f>TEXT(tblSales[[#This Row],[Order Date]],"mmm")</f>
        <v>Sep</v>
      </c>
      <c r="M151">
        <f>YEAR(tblSales[[#This Row],[Order Date]])</f>
        <v>2022</v>
      </c>
    </row>
    <row r="152" spans="1:13">
      <c r="A152" t="s">
        <v>339</v>
      </c>
      <c r="B152" s="1">
        <v>44814</v>
      </c>
      <c r="C152" t="s">
        <v>20</v>
      </c>
      <c r="D152" t="s">
        <v>21</v>
      </c>
      <c r="E152" t="s">
        <v>22</v>
      </c>
      <c r="F152" t="s">
        <v>340</v>
      </c>
      <c r="G152">
        <v>1495.97</v>
      </c>
      <c r="H152">
        <v>1</v>
      </c>
      <c r="I152">
        <v>285.89999999999998</v>
      </c>
      <c r="J152" t="s">
        <v>18</v>
      </c>
      <c r="K152" s="6">
        <f>tblSales[[#This Row],[Profit]]/tblSales[[#This Row],[Sales]]</f>
        <v>0.19111345815758335</v>
      </c>
      <c r="L152" t="str">
        <f>TEXT(tblSales[[#This Row],[Order Date]],"mmm")</f>
        <v>Sep</v>
      </c>
      <c r="M152">
        <f>YEAR(tblSales[[#This Row],[Order Date]])</f>
        <v>2022</v>
      </c>
    </row>
    <row r="153" spans="1:13">
      <c r="A153" t="s">
        <v>341</v>
      </c>
      <c r="B153" s="1">
        <v>44815</v>
      </c>
      <c r="C153" t="s">
        <v>20</v>
      </c>
      <c r="D153" t="s">
        <v>15</v>
      </c>
      <c r="E153" t="s">
        <v>52</v>
      </c>
      <c r="F153" t="s">
        <v>342</v>
      </c>
      <c r="G153">
        <v>688.14</v>
      </c>
      <c r="H153">
        <v>4</v>
      </c>
      <c r="I153">
        <v>145.53</v>
      </c>
      <c r="J153" t="s">
        <v>18</v>
      </c>
      <c r="K153" s="6">
        <f>tblSales[[#This Row],[Profit]]/tblSales[[#This Row],[Sales]]</f>
        <v>0.21148312843316769</v>
      </c>
      <c r="L153" t="str">
        <f>TEXT(tblSales[[#This Row],[Order Date]],"mmm")</f>
        <v>Sep</v>
      </c>
      <c r="M153">
        <f>YEAR(tblSales[[#This Row],[Order Date]])</f>
        <v>2022</v>
      </c>
    </row>
    <row r="154" spans="1:13">
      <c r="A154" t="s">
        <v>343</v>
      </c>
      <c r="B154" s="1">
        <v>44816</v>
      </c>
      <c r="C154" t="s">
        <v>20</v>
      </c>
      <c r="D154" t="s">
        <v>21</v>
      </c>
      <c r="E154" t="s">
        <v>22</v>
      </c>
      <c r="F154" t="s">
        <v>344</v>
      </c>
      <c r="G154">
        <v>1006.53</v>
      </c>
      <c r="H154">
        <v>6</v>
      </c>
      <c r="I154">
        <v>202.76</v>
      </c>
      <c r="J154" t="s">
        <v>29</v>
      </c>
      <c r="K154" s="6">
        <f>tblSales[[#This Row],[Profit]]/tblSales[[#This Row],[Sales]]</f>
        <v>0.20144456697763602</v>
      </c>
      <c r="L154" t="str">
        <f>TEXT(tblSales[[#This Row],[Order Date]],"mmm")</f>
        <v>Sep</v>
      </c>
      <c r="M154">
        <f>YEAR(tblSales[[#This Row],[Order Date]])</f>
        <v>2022</v>
      </c>
    </row>
    <row r="155" spans="1:13">
      <c r="A155" t="s">
        <v>345</v>
      </c>
      <c r="B155" s="1">
        <v>44817</v>
      </c>
      <c r="C155" t="s">
        <v>20</v>
      </c>
      <c r="D155" t="s">
        <v>26</v>
      </c>
      <c r="E155" t="s">
        <v>49</v>
      </c>
      <c r="F155" t="s">
        <v>346</v>
      </c>
      <c r="G155">
        <v>221.53</v>
      </c>
      <c r="H155">
        <v>6</v>
      </c>
      <c r="I155">
        <v>31.31</v>
      </c>
      <c r="J155" t="s">
        <v>18</v>
      </c>
      <c r="K155" s="6">
        <f>tblSales[[#This Row],[Profit]]/tblSales[[#This Row],[Sales]]</f>
        <v>0.14133525933282173</v>
      </c>
      <c r="L155" t="str">
        <f>TEXT(tblSales[[#This Row],[Order Date]],"mmm")</f>
        <v>Sep</v>
      </c>
      <c r="M155">
        <f>YEAR(tblSales[[#This Row],[Order Date]])</f>
        <v>2022</v>
      </c>
    </row>
    <row r="156" spans="1:13">
      <c r="A156" t="s">
        <v>347</v>
      </c>
      <c r="B156" s="1">
        <v>44818</v>
      </c>
      <c r="C156" t="s">
        <v>39</v>
      </c>
      <c r="D156" t="s">
        <v>15</v>
      </c>
      <c r="E156" t="s">
        <v>16</v>
      </c>
      <c r="F156" t="s">
        <v>348</v>
      </c>
      <c r="G156">
        <v>1704.62</v>
      </c>
      <c r="H156">
        <v>8</v>
      </c>
      <c r="I156">
        <v>467.39</v>
      </c>
      <c r="J156" t="s">
        <v>29</v>
      </c>
      <c r="K156" s="6">
        <f>tblSales[[#This Row],[Profit]]/tblSales[[#This Row],[Sales]]</f>
        <v>0.27419014208445286</v>
      </c>
      <c r="L156" t="str">
        <f>TEXT(tblSales[[#This Row],[Order Date]],"mmm")</f>
        <v>Sep</v>
      </c>
      <c r="M156">
        <f>YEAR(tblSales[[#This Row],[Order Date]])</f>
        <v>2022</v>
      </c>
    </row>
    <row r="157" spans="1:13">
      <c r="A157" t="s">
        <v>349</v>
      </c>
      <c r="B157" s="1">
        <v>44819</v>
      </c>
      <c r="C157" t="s">
        <v>33</v>
      </c>
      <c r="D157" t="s">
        <v>40</v>
      </c>
      <c r="E157" t="s">
        <v>41</v>
      </c>
      <c r="F157" t="s">
        <v>350</v>
      </c>
      <c r="G157">
        <v>832.59</v>
      </c>
      <c r="H157">
        <v>4</v>
      </c>
      <c r="I157">
        <v>249.21</v>
      </c>
      <c r="J157" t="s">
        <v>29</v>
      </c>
      <c r="K157" s="6">
        <f>tblSales[[#This Row],[Profit]]/tblSales[[#This Row],[Sales]]</f>
        <v>0.29931899254134686</v>
      </c>
      <c r="L157" t="str">
        <f>TEXT(tblSales[[#This Row],[Order Date]],"mmm")</f>
        <v>Sep</v>
      </c>
      <c r="M157">
        <f>YEAR(tblSales[[#This Row],[Order Date]])</f>
        <v>2022</v>
      </c>
    </row>
    <row r="158" spans="1:13">
      <c r="A158" t="s">
        <v>351</v>
      </c>
      <c r="B158" s="1">
        <v>44820</v>
      </c>
      <c r="C158" t="s">
        <v>14</v>
      </c>
      <c r="D158" t="s">
        <v>15</v>
      </c>
      <c r="E158" t="s">
        <v>79</v>
      </c>
      <c r="F158" t="s">
        <v>352</v>
      </c>
      <c r="G158">
        <v>1160.48</v>
      </c>
      <c r="H158">
        <v>4</v>
      </c>
      <c r="I158">
        <v>59.56</v>
      </c>
      <c r="J158" t="s">
        <v>24</v>
      </c>
      <c r="K158" s="6">
        <f>tblSales[[#This Row],[Profit]]/tblSales[[#This Row],[Sales]]</f>
        <v>5.1323590238521989E-2</v>
      </c>
      <c r="L158" t="str">
        <f>TEXT(tblSales[[#This Row],[Order Date]],"mmm")</f>
        <v>Sep</v>
      </c>
      <c r="M158">
        <f>YEAR(tblSales[[#This Row],[Order Date]])</f>
        <v>2022</v>
      </c>
    </row>
    <row r="159" spans="1:13">
      <c r="A159" t="s">
        <v>353</v>
      </c>
      <c r="B159" s="1">
        <v>44821</v>
      </c>
      <c r="C159" t="s">
        <v>14</v>
      </c>
      <c r="D159" t="s">
        <v>21</v>
      </c>
      <c r="E159" t="s">
        <v>57</v>
      </c>
      <c r="F159" t="s">
        <v>354</v>
      </c>
      <c r="G159">
        <v>991.68</v>
      </c>
      <c r="H159">
        <v>6</v>
      </c>
      <c r="I159">
        <v>215.35</v>
      </c>
      <c r="J159" t="s">
        <v>18</v>
      </c>
      <c r="K159" s="6">
        <f>tblSales[[#This Row],[Profit]]/tblSales[[#This Row],[Sales]]</f>
        <v>0.21715674411100355</v>
      </c>
      <c r="L159" t="str">
        <f>TEXT(tblSales[[#This Row],[Order Date]],"mmm")</f>
        <v>Sep</v>
      </c>
      <c r="M159">
        <f>YEAR(tblSales[[#This Row],[Order Date]])</f>
        <v>2022</v>
      </c>
    </row>
    <row r="160" spans="1:13">
      <c r="A160" t="s">
        <v>355</v>
      </c>
      <c r="B160" s="1">
        <v>44822</v>
      </c>
      <c r="C160" t="s">
        <v>20</v>
      </c>
      <c r="D160" t="s">
        <v>21</v>
      </c>
      <c r="E160" t="s">
        <v>57</v>
      </c>
      <c r="F160" t="s">
        <v>356</v>
      </c>
      <c r="G160">
        <v>1122.3900000000001</v>
      </c>
      <c r="H160">
        <v>8</v>
      </c>
      <c r="I160">
        <v>189.86</v>
      </c>
      <c r="J160" t="s">
        <v>29</v>
      </c>
      <c r="K160" s="6">
        <f>tblSales[[#This Row],[Profit]]/tblSales[[#This Row],[Sales]]</f>
        <v>0.16915688842559182</v>
      </c>
      <c r="L160" t="str">
        <f>TEXT(tblSales[[#This Row],[Order Date]],"mmm")</f>
        <v>Sep</v>
      </c>
      <c r="M160">
        <f>YEAR(tblSales[[#This Row],[Order Date]])</f>
        <v>2022</v>
      </c>
    </row>
    <row r="161" spans="1:13">
      <c r="A161" t="s">
        <v>357</v>
      </c>
      <c r="B161" s="1">
        <v>44823</v>
      </c>
      <c r="C161" t="s">
        <v>33</v>
      </c>
      <c r="D161" t="s">
        <v>21</v>
      </c>
      <c r="E161" t="s">
        <v>89</v>
      </c>
      <c r="F161" t="s">
        <v>358</v>
      </c>
      <c r="G161">
        <v>426.05</v>
      </c>
      <c r="H161">
        <v>6</v>
      </c>
      <c r="I161">
        <v>97.03</v>
      </c>
      <c r="J161" t="s">
        <v>18</v>
      </c>
      <c r="K161" s="6">
        <f>tblSales[[#This Row],[Profit]]/tblSales[[#This Row],[Sales]]</f>
        <v>0.2277432226264523</v>
      </c>
      <c r="L161" t="str">
        <f>TEXT(tblSales[[#This Row],[Order Date]],"mmm")</f>
        <v>Sep</v>
      </c>
      <c r="M161">
        <f>YEAR(tblSales[[#This Row],[Order Date]])</f>
        <v>2022</v>
      </c>
    </row>
    <row r="162" spans="1:13">
      <c r="A162" t="s">
        <v>359</v>
      </c>
      <c r="B162" s="1">
        <v>44824</v>
      </c>
      <c r="C162" t="s">
        <v>33</v>
      </c>
      <c r="D162" t="s">
        <v>40</v>
      </c>
      <c r="E162" t="s">
        <v>92</v>
      </c>
      <c r="F162" t="s">
        <v>360</v>
      </c>
      <c r="G162">
        <v>499.97</v>
      </c>
      <c r="H162">
        <v>1</v>
      </c>
      <c r="I162">
        <v>101.32</v>
      </c>
      <c r="J162" t="s">
        <v>18</v>
      </c>
      <c r="K162" s="6">
        <f>tblSales[[#This Row],[Profit]]/tblSales[[#This Row],[Sales]]</f>
        <v>0.20265215912954776</v>
      </c>
      <c r="L162" t="str">
        <f>TEXT(tblSales[[#This Row],[Order Date]],"mmm")</f>
        <v>Sep</v>
      </c>
      <c r="M162">
        <f>YEAR(tblSales[[#This Row],[Order Date]])</f>
        <v>2022</v>
      </c>
    </row>
    <row r="163" spans="1:13">
      <c r="A163" t="s">
        <v>361</v>
      </c>
      <c r="B163" s="1">
        <v>44825</v>
      </c>
      <c r="C163" t="s">
        <v>33</v>
      </c>
      <c r="D163" t="s">
        <v>15</v>
      </c>
      <c r="E163" t="s">
        <v>79</v>
      </c>
      <c r="F163" t="s">
        <v>362</v>
      </c>
      <c r="G163">
        <v>1170.8499999999999</v>
      </c>
      <c r="H163">
        <v>4</v>
      </c>
      <c r="I163">
        <v>152.4</v>
      </c>
      <c r="J163" t="s">
        <v>18</v>
      </c>
      <c r="K163" s="6">
        <f>tblSales[[#This Row],[Profit]]/tblSales[[#This Row],[Sales]]</f>
        <v>0.13016184822991844</v>
      </c>
      <c r="L163" t="str">
        <f>TEXT(tblSales[[#This Row],[Order Date]],"mmm")</f>
        <v>Sep</v>
      </c>
      <c r="M163">
        <f>YEAR(tblSales[[#This Row],[Order Date]])</f>
        <v>2022</v>
      </c>
    </row>
    <row r="164" spans="1:13">
      <c r="A164" t="s">
        <v>363</v>
      </c>
      <c r="B164" s="1">
        <v>44826</v>
      </c>
      <c r="C164" t="s">
        <v>39</v>
      </c>
      <c r="D164" t="s">
        <v>21</v>
      </c>
      <c r="E164" t="s">
        <v>57</v>
      </c>
      <c r="F164" t="s">
        <v>364</v>
      </c>
      <c r="G164">
        <v>751.08</v>
      </c>
      <c r="H164">
        <v>8</v>
      </c>
      <c r="I164">
        <v>62.79</v>
      </c>
      <c r="J164" t="s">
        <v>18</v>
      </c>
      <c r="K164" s="6">
        <f>tblSales[[#This Row],[Profit]]/tblSales[[#This Row],[Sales]]</f>
        <v>8.3599616552164871E-2</v>
      </c>
      <c r="L164" t="str">
        <f>TEXT(tblSales[[#This Row],[Order Date]],"mmm")</f>
        <v>Sep</v>
      </c>
      <c r="M164">
        <f>YEAR(tblSales[[#This Row],[Order Date]])</f>
        <v>2022</v>
      </c>
    </row>
    <row r="165" spans="1:13">
      <c r="A165" t="s">
        <v>365</v>
      </c>
      <c r="B165" s="1">
        <v>44827</v>
      </c>
      <c r="C165" t="s">
        <v>39</v>
      </c>
      <c r="D165" t="s">
        <v>26</v>
      </c>
      <c r="E165" t="s">
        <v>27</v>
      </c>
      <c r="F165" t="s">
        <v>366</v>
      </c>
      <c r="G165">
        <v>419.43</v>
      </c>
      <c r="H165">
        <v>8</v>
      </c>
      <c r="I165">
        <v>105.89</v>
      </c>
      <c r="J165" t="s">
        <v>24</v>
      </c>
      <c r="K165" s="6">
        <f>tblSales[[#This Row],[Profit]]/tblSales[[#This Row],[Sales]]</f>
        <v>0.25246167417685905</v>
      </c>
      <c r="L165" t="str">
        <f>TEXT(tblSales[[#This Row],[Order Date]],"mmm")</f>
        <v>Sep</v>
      </c>
      <c r="M165">
        <f>YEAR(tblSales[[#This Row],[Order Date]])</f>
        <v>2022</v>
      </c>
    </row>
    <row r="166" spans="1:13">
      <c r="A166" t="s">
        <v>367</v>
      </c>
      <c r="B166" s="1">
        <v>44828</v>
      </c>
      <c r="C166" t="s">
        <v>20</v>
      </c>
      <c r="D166" t="s">
        <v>26</v>
      </c>
      <c r="E166" t="s">
        <v>49</v>
      </c>
      <c r="F166" t="s">
        <v>368</v>
      </c>
      <c r="G166">
        <v>1369.38</v>
      </c>
      <c r="H166">
        <v>1</v>
      </c>
      <c r="I166">
        <v>108.42</v>
      </c>
      <c r="J166" t="s">
        <v>24</v>
      </c>
      <c r="K166" s="6">
        <f>tblSales[[#This Row],[Profit]]/tblSales[[#This Row],[Sales]]</f>
        <v>7.917451693467116E-2</v>
      </c>
      <c r="L166" t="str">
        <f>TEXT(tblSales[[#This Row],[Order Date]],"mmm")</f>
        <v>Sep</v>
      </c>
      <c r="M166">
        <f>YEAR(tblSales[[#This Row],[Order Date]])</f>
        <v>2022</v>
      </c>
    </row>
    <row r="167" spans="1:13">
      <c r="A167" t="s">
        <v>369</v>
      </c>
      <c r="B167" s="1">
        <v>44829</v>
      </c>
      <c r="C167" t="s">
        <v>20</v>
      </c>
      <c r="D167" t="s">
        <v>15</v>
      </c>
      <c r="E167" t="s">
        <v>52</v>
      </c>
      <c r="F167" t="s">
        <v>370</v>
      </c>
      <c r="G167">
        <v>710.76</v>
      </c>
      <c r="H167">
        <v>1</v>
      </c>
      <c r="I167">
        <v>186.7</v>
      </c>
      <c r="J167" t="s">
        <v>24</v>
      </c>
      <c r="K167" s="6">
        <f>tblSales[[#This Row],[Profit]]/tblSales[[#This Row],[Sales]]</f>
        <v>0.26267657155720636</v>
      </c>
      <c r="L167" t="str">
        <f>TEXT(tblSales[[#This Row],[Order Date]],"mmm")</f>
        <v>Sep</v>
      </c>
      <c r="M167">
        <f>YEAR(tblSales[[#This Row],[Order Date]])</f>
        <v>2022</v>
      </c>
    </row>
    <row r="168" spans="1:13">
      <c r="A168" t="s">
        <v>371</v>
      </c>
      <c r="B168" s="1">
        <v>44830</v>
      </c>
      <c r="C168" t="s">
        <v>33</v>
      </c>
      <c r="D168" t="s">
        <v>26</v>
      </c>
      <c r="E168" t="s">
        <v>49</v>
      </c>
      <c r="F168" t="s">
        <v>372</v>
      </c>
      <c r="G168">
        <v>266.11</v>
      </c>
      <c r="H168">
        <v>8</v>
      </c>
      <c r="I168">
        <v>79.23</v>
      </c>
      <c r="J168" t="s">
        <v>24</v>
      </c>
      <c r="K168" s="6">
        <f>tblSales[[#This Row],[Profit]]/tblSales[[#This Row],[Sales]]</f>
        <v>0.29773401976626207</v>
      </c>
      <c r="L168" t="str">
        <f>TEXT(tblSales[[#This Row],[Order Date]],"mmm")</f>
        <v>Sep</v>
      </c>
      <c r="M168">
        <f>YEAR(tblSales[[#This Row],[Order Date]])</f>
        <v>2022</v>
      </c>
    </row>
    <row r="169" spans="1:13">
      <c r="A169" t="s">
        <v>373</v>
      </c>
      <c r="B169" s="1">
        <v>44831</v>
      </c>
      <c r="C169" t="s">
        <v>20</v>
      </c>
      <c r="D169" t="s">
        <v>15</v>
      </c>
      <c r="E169" t="s">
        <v>16</v>
      </c>
      <c r="F169" t="s">
        <v>374</v>
      </c>
      <c r="G169">
        <v>1854.37</v>
      </c>
      <c r="H169">
        <v>6</v>
      </c>
      <c r="I169">
        <v>115.01</v>
      </c>
      <c r="J169" t="s">
        <v>29</v>
      </c>
      <c r="K169" s="6">
        <f>tblSales[[#This Row],[Profit]]/tblSales[[#This Row],[Sales]]</f>
        <v>6.2021063757502555E-2</v>
      </c>
      <c r="L169" t="str">
        <f>TEXT(tblSales[[#This Row],[Order Date]],"mmm")</f>
        <v>Sep</v>
      </c>
      <c r="M169">
        <f>YEAR(tblSales[[#This Row],[Order Date]])</f>
        <v>2022</v>
      </c>
    </row>
    <row r="170" spans="1:13">
      <c r="A170" t="s">
        <v>375</v>
      </c>
      <c r="B170" s="1">
        <v>44832</v>
      </c>
      <c r="C170" t="s">
        <v>39</v>
      </c>
      <c r="D170" t="s">
        <v>26</v>
      </c>
      <c r="E170" t="s">
        <v>34</v>
      </c>
      <c r="F170" t="s">
        <v>376</v>
      </c>
      <c r="G170">
        <v>1659.32</v>
      </c>
      <c r="H170">
        <v>5</v>
      </c>
      <c r="I170">
        <v>166.61</v>
      </c>
      <c r="J170" t="s">
        <v>18</v>
      </c>
      <c r="K170" s="6">
        <f>tblSales[[#This Row],[Profit]]/tblSales[[#This Row],[Sales]]</f>
        <v>0.10040860111370924</v>
      </c>
      <c r="L170" t="str">
        <f>TEXT(tblSales[[#This Row],[Order Date]],"mmm")</f>
        <v>Sep</v>
      </c>
      <c r="M170">
        <f>YEAR(tblSales[[#This Row],[Order Date]])</f>
        <v>2022</v>
      </c>
    </row>
    <row r="171" spans="1:13">
      <c r="A171" t="s">
        <v>377</v>
      </c>
      <c r="B171" s="1">
        <v>44833</v>
      </c>
      <c r="C171" t="s">
        <v>20</v>
      </c>
      <c r="D171" t="s">
        <v>15</v>
      </c>
      <c r="E171" t="s">
        <v>79</v>
      </c>
      <c r="F171" t="s">
        <v>378</v>
      </c>
      <c r="G171">
        <v>1632.86</v>
      </c>
      <c r="H171">
        <v>4</v>
      </c>
      <c r="I171">
        <v>210.72</v>
      </c>
      <c r="J171" t="s">
        <v>18</v>
      </c>
      <c r="K171" s="6">
        <f>tblSales[[#This Row],[Profit]]/tblSales[[#This Row],[Sales]]</f>
        <v>0.12904964295775512</v>
      </c>
      <c r="L171" t="str">
        <f>TEXT(tblSales[[#This Row],[Order Date]],"mmm")</f>
        <v>Sep</v>
      </c>
      <c r="M171">
        <f>YEAR(tblSales[[#This Row],[Order Date]])</f>
        <v>2022</v>
      </c>
    </row>
    <row r="172" spans="1:13">
      <c r="A172" t="s">
        <v>379</v>
      </c>
      <c r="B172" s="1">
        <v>44834</v>
      </c>
      <c r="C172" t="s">
        <v>20</v>
      </c>
      <c r="D172" t="s">
        <v>15</v>
      </c>
      <c r="E172" t="s">
        <v>60</v>
      </c>
      <c r="F172" t="s">
        <v>380</v>
      </c>
      <c r="G172">
        <v>1372.3</v>
      </c>
      <c r="H172">
        <v>8</v>
      </c>
      <c r="I172">
        <v>219.27</v>
      </c>
      <c r="J172" t="s">
        <v>18</v>
      </c>
      <c r="K172" s="6">
        <f>tblSales[[#This Row],[Profit]]/tblSales[[#This Row],[Sales]]</f>
        <v>0.15978284631640313</v>
      </c>
      <c r="L172" t="str">
        <f>TEXT(tblSales[[#This Row],[Order Date]],"mmm")</f>
        <v>Sep</v>
      </c>
      <c r="M172">
        <f>YEAR(tblSales[[#This Row],[Order Date]])</f>
        <v>2022</v>
      </c>
    </row>
    <row r="173" spans="1:13">
      <c r="A173" t="s">
        <v>381</v>
      </c>
      <c r="B173" s="1">
        <v>44835</v>
      </c>
      <c r="C173" t="s">
        <v>14</v>
      </c>
      <c r="D173" t="s">
        <v>21</v>
      </c>
      <c r="E173" t="s">
        <v>22</v>
      </c>
      <c r="F173" t="s">
        <v>382</v>
      </c>
      <c r="G173">
        <v>936.11</v>
      </c>
      <c r="H173">
        <v>6</v>
      </c>
      <c r="I173">
        <v>173.13</v>
      </c>
      <c r="J173" t="s">
        <v>18</v>
      </c>
      <c r="K173" s="6">
        <f>tblSales[[#This Row],[Profit]]/tblSales[[#This Row],[Sales]]</f>
        <v>0.18494621358601018</v>
      </c>
      <c r="L173" t="str">
        <f>TEXT(tblSales[[#This Row],[Order Date]],"mmm")</f>
        <v>Oct</v>
      </c>
      <c r="M173">
        <f>YEAR(tblSales[[#This Row],[Order Date]])</f>
        <v>2022</v>
      </c>
    </row>
    <row r="174" spans="1:13">
      <c r="A174" t="s">
        <v>383</v>
      </c>
      <c r="B174" s="1">
        <v>44836</v>
      </c>
      <c r="C174" t="s">
        <v>39</v>
      </c>
      <c r="D174" t="s">
        <v>15</v>
      </c>
      <c r="E174" t="s">
        <v>79</v>
      </c>
      <c r="F174" t="s">
        <v>384</v>
      </c>
      <c r="G174">
        <v>1163.42</v>
      </c>
      <c r="H174">
        <v>1</v>
      </c>
      <c r="I174">
        <v>319.82</v>
      </c>
      <c r="J174" t="s">
        <v>24</v>
      </c>
      <c r="K174" s="6">
        <f>tblSales[[#This Row],[Profit]]/tblSales[[#This Row],[Sales]]</f>
        <v>0.27489642605421943</v>
      </c>
      <c r="L174" t="str">
        <f>TEXT(tblSales[[#This Row],[Order Date]],"mmm")</f>
        <v>Oct</v>
      </c>
      <c r="M174">
        <f>YEAR(tblSales[[#This Row],[Order Date]])</f>
        <v>2022</v>
      </c>
    </row>
    <row r="175" spans="1:13">
      <c r="A175" t="s">
        <v>385</v>
      </c>
      <c r="B175" s="1">
        <v>44837</v>
      </c>
      <c r="C175" t="s">
        <v>14</v>
      </c>
      <c r="D175" t="s">
        <v>15</v>
      </c>
      <c r="E175" t="s">
        <v>52</v>
      </c>
      <c r="F175" t="s">
        <v>386</v>
      </c>
      <c r="G175">
        <v>1096.23</v>
      </c>
      <c r="H175">
        <v>8</v>
      </c>
      <c r="I175">
        <v>117.58</v>
      </c>
      <c r="J175" t="s">
        <v>24</v>
      </c>
      <c r="K175" s="6">
        <f>tblSales[[#This Row],[Profit]]/tblSales[[#This Row],[Sales]]</f>
        <v>0.10725851326820102</v>
      </c>
      <c r="L175" t="str">
        <f>TEXT(tblSales[[#This Row],[Order Date]],"mmm")</f>
        <v>Oct</v>
      </c>
      <c r="M175">
        <f>YEAR(tblSales[[#This Row],[Order Date]])</f>
        <v>2022</v>
      </c>
    </row>
    <row r="176" spans="1:13">
      <c r="A176" t="s">
        <v>387</v>
      </c>
      <c r="B176" s="1">
        <v>44838</v>
      </c>
      <c r="C176" t="s">
        <v>33</v>
      </c>
      <c r="D176" t="s">
        <v>26</v>
      </c>
      <c r="E176" t="s">
        <v>49</v>
      </c>
      <c r="F176" t="s">
        <v>388</v>
      </c>
      <c r="G176">
        <v>874.43</v>
      </c>
      <c r="H176">
        <v>3</v>
      </c>
      <c r="I176">
        <v>180.94</v>
      </c>
      <c r="J176" t="s">
        <v>18</v>
      </c>
      <c r="K176" s="6">
        <f>tblSales[[#This Row],[Profit]]/tblSales[[#This Row],[Sales]]</f>
        <v>0.2069233672220761</v>
      </c>
      <c r="L176" t="str">
        <f>TEXT(tblSales[[#This Row],[Order Date]],"mmm")</f>
        <v>Oct</v>
      </c>
      <c r="M176">
        <f>YEAR(tblSales[[#This Row],[Order Date]])</f>
        <v>2022</v>
      </c>
    </row>
    <row r="177" spans="1:13">
      <c r="A177" t="s">
        <v>389</v>
      </c>
      <c r="B177" s="1">
        <v>44839</v>
      </c>
      <c r="C177" t="s">
        <v>14</v>
      </c>
      <c r="D177" t="s">
        <v>73</v>
      </c>
      <c r="E177" t="s">
        <v>164</v>
      </c>
      <c r="F177" t="s">
        <v>390</v>
      </c>
      <c r="G177">
        <v>350.13</v>
      </c>
      <c r="H177">
        <v>1</v>
      </c>
      <c r="I177">
        <v>64.2</v>
      </c>
      <c r="J177" t="s">
        <v>24</v>
      </c>
      <c r="K177" s="6">
        <f>tblSales[[#This Row],[Profit]]/tblSales[[#This Row],[Sales]]</f>
        <v>0.18336046611258677</v>
      </c>
      <c r="L177" t="str">
        <f>TEXT(tblSales[[#This Row],[Order Date]],"mmm")</f>
        <v>Oct</v>
      </c>
      <c r="M177">
        <f>YEAR(tblSales[[#This Row],[Order Date]])</f>
        <v>2022</v>
      </c>
    </row>
    <row r="178" spans="1:13">
      <c r="A178" t="s">
        <v>391</v>
      </c>
      <c r="B178" s="1">
        <v>44840</v>
      </c>
      <c r="C178" t="s">
        <v>39</v>
      </c>
      <c r="D178" t="s">
        <v>26</v>
      </c>
      <c r="E178" t="s">
        <v>49</v>
      </c>
      <c r="F178" t="s">
        <v>392</v>
      </c>
      <c r="G178">
        <v>1581.42</v>
      </c>
      <c r="H178">
        <v>6</v>
      </c>
      <c r="I178">
        <v>376.54</v>
      </c>
      <c r="J178" t="s">
        <v>24</v>
      </c>
      <c r="K178" s="6">
        <f>tblSales[[#This Row],[Profit]]/tblSales[[#This Row],[Sales]]</f>
        <v>0.23810246487334169</v>
      </c>
      <c r="L178" t="str">
        <f>TEXT(tblSales[[#This Row],[Order Date]],"mmm")</f>
        <v>Oct</v>
      </c>
      <c r="M178">
        <f>YEAR(tblSales[[#This Row],[Order Date]])</f>
        <v>2022</v>
      </c>
    </row>
    <row r="179" spans="1:13">
      <c r="A179" t="s">
        <v>393</v>
      </c>
      <c r="B179" s="1">
        <v>44841</v>
      </c>
      <c r="C179" t="s">
        <v>14</v>
      </c>
      <c r="D179" t="s">
        <v>40</v>
      </c>
      <c r="E179" t="s">
        <v>41</v>
      </c>
      <c r="F179" t="s">
        <v>394</v>
      </c>
      <c r="G179">
        <v>303.39</v>
      </c>
      <c r="H179">
        <v>4</v>
      </c>
      <c r="I179">
        <v>58.39</v>
      </c>
      <c r="J179" t="s">
        <v>18</v>
      </c>
      <c r="K179" s="6">
        <f>tblSales[[#This Row],[Profit]]/tblSales[[#This Row],[Sales]]</f>
        <v>0.19245855169913315</v>
      </c>
      <c r="L179" t="str">
        <f>TEXT(tblSales[[#This Row],[Order Date]],"mmm")</f>
        <v>Oct</v>
      </c>
      <c r="M179">
        <f>YEAR(tblSales[[#This Row],[Order Date]])</f>
        <v>2022</v>
      </c>
    </row>
    <row r="180" spans="1:13">
      <c r="A180" t="s">
        <v>395</v>
      </c>
      <c r="B180" s="1">
        <v>44842</v>
      </c>
      <c r="C180" t="s">
        <v>14</v>
      </c>
      <c r="D180" t="s">
        <v>73</v>
      </c>
      <c r="E180" t="s">
        <v>164</v>
      </c>
      <c r="F180" t="s">
        <v>396</v>
      </c>
      <c r="G180">
        <v>1756</v>
      </c>
      <c r="H180">
        <v>1</v>
      </c>
      <c r="I180">
        <v>132.97999999999999</v>
      </c>
      <c r="J180" t="s">
        <v>18</v>
      </c>
      <c r="K180" s="6">
        <f>tblSales[[#This Row],[Profit]]/tblSales[[#This Row],[Sales]]</f>
        <v>7.5728929384965823E-2</v>
      </c>
      <c r="L180" t="str">
        <f>TEXT(tblSales[[#This Row],[Order Date]],"mmm")</f>
        <v>Oct</v>
      </c>
      <c r="M180">
        <f>YEAR(tblSales[[#This Row],[Order Date]])</f>
        <v>2022</v>
      </c>
    </row>
    <row r="181" spans="1:13">
      <c r="A181" t="s">
        <v>397</v>
      </c>
      <c r="B181" s="1">
        <v>44843</v>
      </c>
      <c r="C181" t="s">
        <v>20</v>
      </c>
      <c r="D181" t="s">
        <v>15</v>
      </c>
      <c r="E181" t="s">
        <v>60</v>
      </c>
      <c r="F181" t="s">
        <v>398</v>
      </c>
      <c r="G181">
        <v>1695.98</v>
      </c>
      <c r="H181">
        <v>8</v>
      </c>
      <c r="I181">
        <v>340.87</v>
      </c>
      <c r="J181" t="s">
        <v>29</v>
      </c>
      <c r="K181" s="6">
        <f>tblSales[[#This Row],[Profit]]/tblSales[[#This Row],[Sales]]</f>
        <v>0.20098703994150874</v>
      </c>
      <c r="L181" t="str">
        <f>TEXT(tblSales[[#This Row],[Order Date]],"mmm")</f>
        <v>Oct</v>
      </c>
      <c r="M181">
        <f>YEAR(tblSales[[#This Row],[Order Date]])</f>
        <v>2022</v>
      </c>
    </row>
    <row r="182" spans="1:13">
      <c r="A182" t="s">
        <v>399</v>
      </c>
      <c r="B182" s="1">
        <v>44844</v>
      </c>
      <c r="C182" t="s">
        <v>33</v>
      </c>
      <c r="D182" t="s">
        <v>15</v>
      </c>
      <c r="E182" t="s">
        <v>16</v>
      </c>
      <c r="F182" t="s">
        <v>400</v>
      </c>
      <c r="G182">
        <v>1088.92</v>
      </c>
      <c r="H182">
        <v>4</v>
      </c>
      <c r="I182">
        <v>251.06</v>
      </c>
      <c r="J182" t="s">
        <v>24</v>
      </c>
      <c r="K182" s="6">
        <f>tblSales[[#This Row],[Profit]]/tblSales[[#This Row],[Sales]]</f>
        <v>0.23055871873048525</v>
      </c>
      <c r="L182" t="str">
        <f>TEXT(tblSales[[#This Row],[Order Date]],"mmm")</f>
        <v>Oct</v>
      </c>
      <c r="M182">
        <f>YEAR(tblSales[[#This Row],[Order Date]])</f>
        <v>2022</v>
      </c>
    </row>
    <row r="183" spans="1:13">
      <c r="A183" t="s">
        <v>401</v>
      </c>
      <c r="B183" s="1">
        <v>44845</v>
      </c>
      <c r="C183" t="s">
        <v>33</v>
      </c>
      <c r="D183" t="s">
        <v>26</v>
      </c>
      <c r="E183" t="s">
        <v>27</v>
      </c>
      <c r="F183" t="s">
        <v>402</v>
      </c>
      <c r="G183">
        <v>1289.47</v>
      </c>
      <c r="H183">
        <v>3</v>
      </c>
      <c r="I183">
        <v>246.78</v>
      </c>
      <c r="J183" t="s">
        <v>29</v>
      </c>
      <c r="K183" s="6">
        <f>tblSales[[#This Row],[Profit]]/tblSales[[#This Row],[Sales]]</f>
        <v>0.19138095496599378</v>
      </c>
      <c r="L183" t="str">
        <f>TEXT(tblSales[[#This Row],[Order Date]],"mmm")</f>
        <v>Oct</v>
      </c>
      <c r="M183">
        <f>YEAR(tblSales[[#This Row],[Order Date]])</f>
        <v>2022</v>
      </c>
    </row>
    <row r="184" spans="1:13">
      <c r="A184" t="s">
        <v>403</v>
      </c>
      <c r="B184" s="1">
        <v>44846</v>
      </c>
      <c r="C184" t="s">
        <v>14</v>
      </c>
      <c r="D184" t="s">
        <v>15</v>
      </c>
      <c r="E184" t="s">
        <v>79</v>
      </c>
      <c r="F184" t="s">
        <v>404</v>
      </c>
      <c r="G184">
        <v>1657.06</v>
      </c>
      <c r="H184">
        <v>8</v>
      </c>
      <c r="I184">
        <v>324.52999999999997</v>
      </c>
      <c r="J184" t="s">
        <v>29</v>
      </c>
      <c r="K184" s="6">
        <f>tblSales[[#This Row],[Profit]]/tblSales[[#This Row],[Sales]]</f>
        <v>0.19584686130858267</v>
      </c>
      <c r="L184" t="str">
        <f>TEXT(tblSales[[#This Row],[Order Date]],"mmm")</f>
        <v>Oct</v>
      </c>
      <c r="M184">
        <f>YEAR(tblSales[[#This Row],[Order Date]])</f>
        <v>2022</v>
      </c>
    </row>
    <row r="185" spans="1:13">
      <c r="A185" t="s">
        <v>405</v>
      </c>
      <c r="B185" s="1">
        <v>44847</v>
      </c>
      <c r="C185" t="s">
        <v>14</v>
      </c>
      <c r="D185" t="s">
        <v>26</v>
      </c>
      <c r="E185" t="s">
        <v>34</v>
      </c>
      <c r="F185" t="s">
        <v>406</v>
      </c>
      <c r="G185">
        <v>934.77</v>
      </c>
      <c r="H185">
        <v>8</v>
      </c>
      <c r="I185">
        <v>164.96</v>
      </c>
      <c r="J185" t="s">
        <v>24</v>
      </c>
      <c r="K185" s="6">
        <f>tblSales[[#This Row],[Profit]]/tblSales[[#This Row],[Sales]]</f>
        <v>0.17647121751874795</v>
      </c>
      <c r="L185" t="str">
        <f>TEXT(tblSales[[#This Row],[Order Date]],"mmm")</f>
        <v>Oct</v>
      </c>
      <c r="M185">
        <f>YEAR(tblSales[[#This Row],[Order Date]])</f>
        <v>2022</v>
      </c>
    </row>
    <row r="186" spans="1:13">
      <c r="A186" t="s">
        <v>407</v>
      </c>
      <c r="B186" s="1">
        <v>44848</v>
      </c>
      <c r="C186" t="s">
        <v>33</v>
      </c>
      <c r="D186" t="s">
        <v>40</v>
      </c>
      <c r="E186" t="s">
        <v>92</v>
      </c>
      <c r="F186" t="s">
        <v>408</v>
      </c>
      <c r="G186">
        <v>1746.81</v>
      </c>
      <c r="H186">
        <v>4</v>
      </c>
      <c r="I186">
        <v>488.56</v>
      </c>
      <c r="J186" t="s">
        <v>18</v>
      </c>
      <c r="K186" s="6">
        <f>tblSales[[#This Row],[Profit]]/tblSales[[#This Row],[Sales]]</f>
        <v>0.27968697225227701</v>
      </c>
      <c r="L186" t="str">
        <f>TEXT(tblSales[[#This Row],[Order Date]],"mmm")</f>
        <v>Oct</v>
      </c>
      <c r="M186">
        <f>YEAR(tblSales[[#This Row],[Order Date]])</f>
        <v>2022</v>
      </c>
    </row>
    <row r="187" spans="1:13">
      <c r="A187" t="s">
        <v>409</v>
      </c>
      <c r="B187" s="1">
        <v>44849</v>
      </c>
      <c r="C187" t="s">
        <v>20</v>
      </c>
      <c r="D187" t="s">
        <v>40</v>
      </c>
      <c r="E187" t="s">
        <v>41</v>
      </c>
      <c r="F187" t="s">
        <v>410</v>
      </c>
      <c r="G187">
        <v>65.58</v>
      </c>
      <c r="H187">
        <v>1</v>
      </c>
      <c r="I187">
        <v>12.73</v>
      </c>
      <c r="J187" t="s">
        <v>18</v>
      </c>
      <c r="K187" s="6">
        <f>tblSales[[#This Row],[Profit]]/tblSales[[#This Row],[Sales]]</f>
        <v>0.1941140591643794</v>
      </c>
      <c r="L187" t="str">
        <f>TEXT(tblSales[[#This Row],[Order Date]],"mmm")</f>
        <v>Oct</v>
      </c>
      <c r="M187">
        <f>YEAR(tblSales[[#This Row],[Order Date]])</f>
        <v>2022</v>
      </c>
    </row>
    <row r="188" spans="1:13">
      <c r="A188" t="s">
        <v>411</v>
      </c>
      <c r="B188" s="1">
        <v>44850</v>
      </c>
      <c r="C188" t="s">
        <v>39</v>
      </c>
      <c r="D188" t="s">
        <v>26</v>
      </c>
      <c r="E188" t="s">
        <v>49</v>
      </c>
      <c r="F188" t="s">
        <v>412</v>
      </c>
      <c r="G188">
        <v>859.78</v>
      </c>
      <c r="H188">
        <v>8</v>
      </c>
      <c r="I188">
        <v>223.64</v>
      </c>
      <c r="J188" t="s">
        <v>18</v>
      </c>
      <c r="K188" s="6">
        <f>tblSales[[#This Row],[Profit]]/tblSales[[#This Row],[Sales]]</f>
        <v>0.26011305217613806</v>
      </c>
      <c r="L188" t="str">
        <f>TEXT(tblSales[[#This Row],[Order Date]],"mmm")</f>
        <v>Oct</v>
      </c>
      <c r="M188">
        <f>YEAR(tblSales[[#This Row],[Order Date]])</f>
        <v>2022</v>
      </c>
    </row>
    <row r="189" spans="1:13">
      <c r="A189" t="s">
        <v>413</v>
      </c>
      <c r="B189" s="1">
        <v>44851</v>
      </c>
      <c r="C189" t="s">
        <v>39</v>
      </c>
      <c r="D189" t="s">
        <v>40</v>
      </c>
      <c r="E189" t="s">
        <v>44</v>
      </c>
      <c r="F189" t="s">
        <v>414</v>
      </c>
      <c r="G189">
        <v>244.21</v>
      </c>
      <c r="H189">
        <v>5</v>
      </c>
      <c r="I189">
        <v>22.32</v>
      </c>
      <c r="J189" t="s">
        <v>24</v>
      </c>
      <c r="K189" s="6">
        <f>tblSales[[#This Row],[Profit]]/tblSales[[#This Row],[Sales]]</f>
        <v>9.1396748699889438E-2</v>
      </c>
      <c r="L189" t="str">
        <f>TEXT(tblSales[[#This Row],[Order Date]],"mmm")</f>
        <v>Oct</v>
      </c>
      <c r="M189">
        <f>YEAR(tblSales[[#This Row],[Order Date]])</f>
        <v>2022</v>
      </c>
    </row>
    <row r="190" spans="1:13">
      <c r="A190" t="s">
        <v>415</v>
      </c>
      <c r="B190" s="1">
        <v>44852</v>
      </c>
      <c r="C190" t="s">
        <v>14</v>
      </c>
      <c r="D190" t="s">
        <v>21</v>
      </c>
      <c r="E190" t="s">
        <v>57</v>
      </c>
      <c r="F190" t="s">
        <v>146</v>
      </c>
      <c r="G190">
        <v>1678.23</v>
      </c>
      <c r="H190">
        <v>1</v>
      </c>
      <c r="I190">
        <v>448.88</v>
      </c>
      <c r="J190" t="s">
        <v>18</v>
      </c>
      <c r="K190" s="6">
        <f>tblSales[[#This Row],[Profit]]/tblSales[[#This Row],[Sales]]</f>
        <v>0.26747227733981632</v>
      </c>
      <c r="L190" t="str">
        <f>TEXT(tblSales[[#This Row],[Order Date]],"mmm")</f>
        <v>Oct</v>
      </c>
      <c r="M190">
        <f>YEAR(tblSales[[#This Row],[Order Date]])</f>
        <v>2022</v>
      </c>
    </row>
    <row r="191" spans="1:13">
      <c r="A191" t="s">
        <v>416</v>
      </c>
      <c r="B191" s="1">
        <v>44853</v>
      </c>
      <c r="C191" t="s">
        <v>33</v>
      </c>
      <c r="D191" t="s">
        <v>15</v>
      </c>
      <c r="E191" t="s">
        <v>16</v>
      </c>
      <c r="F191" t="s">
        <v>417</v>
      </c>
      <c r="G191">
        <v>1190.73</v>
      </c>
      <c r="H191">
        <v>5</v>
      </c>
      <c r="I191">
        <v>172.45</v>
      </c>
      <c r="J191" t="s">
        <v>29</v>
      </c>
      <c r="K191" s="6">
        <f>tblSales[[#This Row],[Profit]]/tblSales[[#This Row],[Sales]]</f>
        <v>0.14482712285740679</v>
      </c>
      <c r="L191" t="str">
        <f>TEXT(tblSales[[#This Row],[Order Date]],"mmm")</f>
        <v>Oct</v>
      </c>
      <c r="M191">
        <f>YEAR(tblSales[[#This Row],[Order Date]])</f>
        <v>2022</v>
      </c>
    </row>
    <row r="192" spans="1:13">
      <c r="A192" t="s">
        <v>418</v>
      </c>
      <c r="B192" s="1">
        <v>44854</v>
      </c>
      <c r="C192" t="s">
        <v>14</v>
      </c>
      <c r="D192" t="s">
        <v>40</v>
      </c>
      <c r="E192" t="s">
        <v>41</v>
      </c>
      <c r="F192" t="s">
        <v>419</v>
      </c>
      <c r="G192">
        <v>427.05</v>
      </c>
      <c r="H192">
        <v>9</v>
      </c>
      <c r="I192">
        <v>21.85</v>
      </c>
      <c r="J192" t="s">
        <v>29</v>
      </c>
      <c r="K192" s="6">
        <f>tblSales[[#This Row],[Profit]]/tblSales[[#This Row],[Sales]]</f>
        <v>5.1164968973188153E-2</v>
      </c>
      <c r="L192" t="str">
        <f>TEXT(tblSales[[#This Row],[Order Date]],"mmm")</f>
        <v>Oct</v>
      </c>
      <c r="M192">
        <f>YEAR(tblSales[[#This Row],[Order Date]])</f>
        <v>2022</v>
      </c>
    </row>
    <row r="193" spans="1:13">
      <c r="A193" t="s">
        <v>420</v>
      </c>
      <c r="B193" s="1">
        <v>44855</v>
      </c>
      <c r="C193" t="s">
        <v>39</v>
      </c>
      <c r="D193" t="s">
        <v>21</v>
      </c>
      <c r="E193" t="s">
        <v>22</v>
      </c>
      <c r="F193" t="s">
        <v>421</v>
      </c>
      <c r="G193">
        <v>1729.77</v>
      </c>
      <c r="H193">
        <v>6</v>
      </c>
      <c r="I193">
        <v>236.26</v>
      </c>
      <c r="J193" t="s">
        <v>18</v>
      </c>
      <c r="K193" s="6">
        <f>tblSales[[#This Row],[Profit]]/tblSales[[#This Row],[Sales]]</f>
        <v>0.13658463263902137</v>
      </c>
      <c r="L193" t="str">
        <f>TEXT(tblSales[[#This Row],[Order Date]],"mmm")</f>
        <v>Oct</v>
      </c>
      <c r="M193">
        <f>YEAR(tblSales[[#This Row],[Order Date]])</f>
        <v>2022</v>
      </c>
    </row>
    <row r="194" spans="1:13">
      <c r="A194" t="s">
        <v>422</v>
      </c>
      <c r="B194" s="1">
        <v>44856</v>
      </c>
      <c r="C194" t="s">
        <v>39</v>
      </c>
      <c r="D194" t="s">
        <v>21</v>
      </c>
      <c r="E194" t="s">
        <v>89</v>
      </c>
      <c r="F194" t="s">
        <v>423</v>
      </c>
      <c r="G194">
        <v>1838.54</v>
      </c>
      <c r="H194">
        <v>3</v>
      </c>
      <c r="I194">
        <v>206.02</v>
      </c>
      <c r="J194" t="s">
        <v>29</v>
      </c>
      <c r="K194" s="6">
        <f>tblSales[[#This Row],[Profit]]/tblSales[[#This Row],[Sales]]</f>
        <v>0.11205630554679258</v>
      </c>
      <c r="L194" t="str">
        <f>TEXT(tblSales[[#This Row],[Order Date]],"mmm")</f>
        <v>Oct</v>
      </c>
      <c r="M194">
        <f>YEAR(tblSales[[#This Row],[Order Date]])</f>
        <v>2022</v>
      </c>
    </row>
    <row r="195" spans="1:13">
      <c r="A195" t="s">
        <v>424</v>
      </c>
      <c r="B195" s="1">
        <v>44857</v>
      </c>
      <c r="C195" t="s">
        <v>14</v>
      </c>
      <c r="D195" t="s">
        <v>73</v>
      </c>
      <c r="E195" t="s">
        <v>164</v>
      </c>
      <c r="F195" t="s">
        <v>231</v>
      </c>
      <c r="G195">
        <v>347.72</v>
      </c>
      <c r="H195">
        <v>5</v>
      </c>
      <c r="I195">
        <v>96.91</v>
      </c>
      <c r="J195" t="s">
        <v>18</v>
      </c>
      <c r="K195" s="6">
        <f>tblSales[[#This Row],[Profit]]/tblSales[[#This Row],[Sales]]</f>
        <v>0.27870125388243411</v>
      </c>
      <c r="L195" t="str">
        <f>TEXT(tblSales[[#This Row],[Order Date]],"mmm")</f>
        <v>Oct</v>
      </c>
      <c r="M195">
        <f>YEAR(tblSales[[#This Row],[Order Date]])</f>
        <v>2022</v>
      </c>
    </row>
    <row r="196" spans="1:13">
      <c r="A196" t="s">
        <v>425</v>
      </c>
      <c r="B196" s="1">
        <v>44858</v>
      </c>
      <c r="C196" t="s">
        <v>39</v>
      </c>
      <c r="D196" t="s">
        <v>40</v>
      </c>
      <c r="E196" t="s">
        <v>44</v>
      </c>
      <c r="F196" t="s">
        <v>426</v>
      </c>
      <c r="G196">
        <v>1169.56</v>
      </c>
      <c r="H196">
        <v>6</v>
      </c>
      <c r="I196">
        <v>122.83</v>
      </c>
      <c r="J196" t="s">
        <v>29</v>
      </c>
      <c r="K196" s="6">
        <f>tblSales[[#This Row],[Profit]]/tblSales[[#This Row],[Sales]]</f>
        <v>0.10502240158692158</v>
      </c>
      <c r="L196" t="str">
        <f>TEXT(tblSales[[#This Row],[Order Date]],"mmm")</f>
        <v>Oct</v>
      </c>
      <c r="M196">
        <f>YEAR(tblSales[[#This Row],[Order Date]])</f>
        <v>2022</v>
      </c>
    </row>
    <row r="197" spans="1:13">
      <c r="A197" t="s">
        <v>427</v>
      </c>
      <c r="B197" s="1">
        <v>44859</v>
      </c>
      <c r="C197" t="s">
        <v>20</v>
      </c>
      <c r="D197" t="s">
        <v>73</v>
      </c>
      <c r="E197" t="s">
        <v>164</v>
      </c>
      <c r="F197" t="s">
        <v>428</v>
      </c>
      <c r="G197">
        <v>372.51</v>
      </c>
      <c r="H197">
        <v>4</v>
      </c>
      <c r="I197">
        <v>61.37</v>
      </c>
      <c r="J197" t="s">
        <v>18</v>
      </c>
      <c r="K197" s="6">
        <f>tblSales[[#This Row],[Profit]]/tblSales[[#This Row],[Sales]]</f>
        <v>0.16474725510724544</v>
      </c>
      <c r="L197" t="str">
        <f>TEXT(tblSales[[#This Row],[Order Date]],"mmm")</f>
        <v>Oct</v>
      </c>
      <c r="M197">
        <f>YEAR(tblSales[[#This Row],[Order Date]])</f>
        <v>2022</v>
      </c>
    </row>
    <row r="198" spans="1:13">
      <c r="A198" t="s">
        <v>429</v>
      </c>
      <c r="B198" s="1">
        <v>44860</v>
      </c>
      <c r="C198" t="s">
        <v>33</v>
      </c>
      <c r="D198" t="s">
        <v>26</v>
      </c>
      <c r="E198" t="s">
        <v>49</v>
      </c>
      <c r="F198" t="s">
        <v>430</v>
      </c>
      <c r="G198">
        <v>1724.05</v>
      </c>
      <c r="H198">
        <v>8</v>
      </c>
      <c r="I198">
        <v>302.64999999999998</v>
      </c>
      <c r="J198" t="s">
        <v>18</v>
      </c>
      <c r="K198" s="6">
        <f>tblSales[[#This Row],[Profit]]/tblSales[[#This Row],[Sales]]</f>
        <v>0.175545952843595</v>
      </c>
      <c r="L198" t="str">
        <f>TEXT(tblSales[[#This Row],[Order Date]],"mmm")</f>
        <v>Oct</v>
      </c>
      <c r="M198">
        <f>YEAR(tblSales[[#This Row],[Order Date]])</f>
        <v>2022</v>
      </c>
    </row>
    <row r="199" spans="1:13">
      <c r="A199" t="s">
        <v>431</v>
      </c>
      <c r="B199" s="1">
        <v>44861</v>
      </c>
      <c r="C199" t="s">
        <v>14</v>
      </c>
      <c r="D199" t="s">
        <v>21</v>
      </c>
      <c r="E199" t="s">
        <v>22</v>
      </c>
      <c r="F199" t="s">
        <v>432</v>
      </c>
      <c r="G199">
        <v>435.61</v>
      </c>
      <c r="H199">
        <v>3</v>
      </c>
      <c r="I199">
        <v>59.83</v>
      </c>
      <c r="J199" t="s">
        <v>29</v>
      </c>
      <c r="K199" s="6">
        <f>tblSales[[#This Row],[Profit]]/tblSales[[#This Row],[Sales]]</f>
        <v>0.13734762746493423</v>
      </c>
      <c r="L199" t="str">
        <f>TEXT(tblSales[[#This Row],[Order Date]],"mmm")</f>
        <v>Oct</v>
      </c>
      <c r="M199">
        <f>YEAR(tblSales[[#This Row],[Order Date]])</f>
        <v>2022</v>
      </c>
    </row>
    <row r="200" spans="1:13">
      <c r="A200" t="s">
        <v>433</v>
      </c>
      <c r="B200" s="1">
        <v>44862</v>
      </c>
      <c r="C200" t="s">
        <v>39</v>
      </c>
      <c r="D200" t="s">
        <v>21</v>
      </c>
      <c r="E200" t="s">
        <v>89</v>
      </c>
      <c r="F200" t="s">
        <v>434</v>
      </c>
      <c r="G200">
        <v>1257.45</v>
      </c>
      <c r="H200">
        <v>8</v>
      </c>
      <c r="I200">
        <v>247.55</v>
      </c>
      <c r="J200" t="s">
        <v>29</v>
      </c>
      <c r="K200" s="6">
        <f>tblSales[[#This Row],[Profit]]/tblSales[[#This Row],[Sales]]</f>
        <v>0.19686667461926916</v>
      </c>
      <c r="L200" t="str">
        <f>TEXT(tblSales[[#This Row],[Order Date]],"mmm")</f>
        <v>Oct</v>
      </c>
      <c r="M200">
        <f>YEAR(tblSales[[#This Row],[Order Date]])</f>
        <v>2022</v>
      </c>
    </row>
    <row r="201" spans="1:13">
      <c r="A201" t="s">
        <v>435</v>
      </c>
      <c r="B201" s="1">
        <v>44863</v>
      </c>
      <c r="C201" t="s">
        <v>14</v>
      </c>
      <c r="D201" t="s">
        <v>21</v>
      </c>
      <c r="E201" t="s">
        <v>89</v>
      </c>
      <c r="F201" t="s">
        <v>436</v>
      </c>
      <c r="G201">
        <v>917.51</v>
      </c>
      <c r="H201">
        <v>2</v>
      </c>
      <c r="I201">
        <v>168.47</v>
      </c>
      <c r="J201" t="s">
        <v>29</v>
      </c>
      <c r="K201" s="6">
        <f>tblSales[[#This Row],[Profit]]/tblSales[[#This Row],[Sales]]</f>
        <v>0.18361652734030146</v>
      </c>
      <c r="L201" t="str">
        <f>TEXT(tblSales[[#This Row],[Order Date]],"mmm")</f>
        <v>Oct</v>
      </c>
      <c r="M201">
        <f>YEAR(tblSales[[#This Row],[Order Date]])</f>
        <v>2022</v>
      </c>
    </row>
    <row r="202" spans="1:13">
      <c r="A202" t="s">
        <v>437</v>
      </c>
      <c r="B202" s="1">
        <v>44864</v>
      </c>
      <c r="C202" t="s">
        <v>39</v>
      </c>
      <c r="D202" t="s">
        <v>15</v>
      </c>
      <c r="E202" t="s">
        <v>52</v>
      </c>
      <c r="F202" t="s">
        <v>438</v>
      </c>
      <c r="G202">
        <v>1004.08</v>
      </c>
      <c r="H202">
        <v>3</v>
      </c>
      <c r="I202">
        <v>89.17</v>
      </c>
      <c r="J202" t="s">
        <v>29</v>
      </c>
      <c r="K202" s="6">
        <f>tblSales[[#This Row],[Profit]]/tblSales[[#This Row],[Sales]]</f>
        <v>8.8807664727910129E-2</v>
      </c>
      <c r="L202" t="str">
        <f>TEXT(tblSales[[#This Row],[Order Date]],"mmm")</f>
        <v>Oct</v>
      </c>
      <c r="M202">
        <f>YEAR(tblSales[[#This Row],[Order Date]])</f>
        <v>2022</v>
      </c>
    </row>
    <row r="203" spans="1:13">
      <c r="A203" t="s">
        <v>439</v>
      </c>
      <c r="B203" s="1">
        <v>44865</v>
      </c>
      <c r="C203" t="s">
        <v>33</v>
      </c>
      <c r="D203" t="s">
        <v>73</v>
      </c>
      <c r="E203" t="s">
        <v>164</v>
      </c>
      <c r="F203" t="s">
        <v>440</v>
      </c>
      <c r="G203">
        <v>169.5</v>
      </c>
      <c r="H203">
        <v>3</v>
      </c>
      <c r="I203">
        <v>24.29</v>
      </c>
      <c r="J203" t="s">
        <v>18</v>
      </c>
      <c r="K203" s="6">
        <f>tblSales[[#This Row],[Profit]]/tblSales[[#This Row],[Sales]]</f>
        <v>0.14330383480825959</v>
      </c>
      <c r="L203" t="str">
        <f>TEXT(tblSales[[#This Row],[Order Date]],"mmm")</f>
        <v>Oct</v>
      </c>
      <c r="M203">
        <f>YEAR(tblSales[[#This Row],[Order Date]])</f>
        <v>2022</v>
      </c>
    </row>
    <row r="204" spans="1:13">
      <c r="A204" t="s">
        <v>441</v>
      </c>
      <c r="B204" s="1">
        <v>44866</v>
      </c>
      <c r="C204" t="s">
        <v>14</v>
      </c>
      <c r="D204" t="s">
        <v>73</v>
      </c>
      <c r="E204" t="s">
        <v>84</v>
      </c>
      <c r="F204" t="s">
        <v>442</v>
      </c>
      <c r="G204">
        <v>1062.6300000000001</v>
      </c>
      <c r="H204">
        <v>1</v>
      </c>
      <c r="I204">
        <v>59.88</v>
      </c>
      <c r="J204" t="s">
        <v>29</v>
      </c>
      <c r="K204" s="6">
        <f>tblSales[[#This Row],[Profit]]/tblSales[[#This Row],[Sales]]</f>
        <v>5.6350752378532508E-2</v>
      </c>
      <c r="L204" t="str">
        <f>TEXT(tblSales[[#This Row],[Order Date]],"mmm")</f>
        <v>Nov</v>
      </c>
      <c r="M204">
        <f>YEAR(tblSales[[#This Row],[Order Date]])</f>
        <v>2022</v>
      </c>
    </row>
    <row r="205" spans="1:13">
      <c r="A205" t="s">
        <v>443</v>
      </c>
      <c r="B205" s="1">
        <v>44867</v>
      </c>
      <c r="C205" t="s">
        <v>20</v>
      </c>
      <c r="D205" t="s">
        <v>26</v>
      </c>
      <c r="E205" t="s">
        <v>27</v>
      </c>
      <c r="F205" t="s">
        <v>291</v>
      </c>
      <c r="G205">
        <v>1437.63</v>
      </c>
      <c r="H205">
        <v>8</v>
      </c>
      <c r="I205">
        <v>81.62</v>
      </c>
      <c r="J205" t="s">
        <v>29</v>
      </c>
      <c r="K205" s="6">
        <f>tblSales[[#This Row],[Profit]]/tblSales[[#This Row],[Sales]]</f>
        <v>5.6773996090788308E-2</v>
      </c>
      <c r="L205" t="str">
        <f>TEXT(tblSales[[#This Row],[Order Date]],"mmm")</f>
        <v>Nov</v>
      </c>
      <c r="M205">
        <f>YEAR(tblSales[[#This Row],[Order Date]])</f>
        <v>2022</v>
      </c>
    </row>
    <row r="206" spans="1:13">
      <c r="A206" t="s">
        <v>444</v>
      </c>
      <c r="B206" s="1">
        <v>44868</v>
      </c>
      <c r="C206" t="s">
        <v>20</v>
      </c>
      <c r="D206" t="s">
        <v>15</v>
      </c>
      <c r="E206" t="s">
        <v>16</v>
      </c>
      <c r="F206" t="s">
        <v>445</v>
      </c>
      <c r="G206">
        <v>226.13</v>
      </c>
      <c r="H206">
        <v>5</v>
      </c>
      <c r="I206">
        <v>21.4</v>
      </c>
      <c r="J206" t="s">
        <v>24</v>
      </c>
      <c r="K206" s="6">
        <f>tblSales[[#This Row],[Profit]]/tblSales[[#This Row],[Sales]]</f>
        <v>9.4635828947950293E-2</v>
      </c>
      <c r="L206" t="str">
        <f>TEXT(tblSales[[#This Row],[Order Date]],"mmm")</f>
        <v>Nov</v>
      </c>
      <c r="M206">
        <f>YEAR(tblSales[[#This Row],[Order Date]])</f>
        <v>2022</v>
      </c>
    </row>
    <row r="207" spans="1:13">
      <c r="A207" t="s">
        <v>446</v>
      </c>
      <c r="B207" s="1">
        <v>44869</v>
      </c>
      <c r="C207" t="s">
        <v>14</v>
      </c>
      <c r="D207" t="s">
        <v>73</v>
      </c>
      <c r="E207" t="s">
        <v>74</v>
      </c>
      <c r="F207" t="s">
        <v>447</v>
      </c>
      <c r="G207">
        <v>491.6</v>
      </c>
      <c r="H207">
        <v>2</v>
      </c>
      <c r="I207">
        <v>123.55</v>
      </c>
      <c r="J207" t="s">
        <v>24</v>
      </c>
      <c r="K207" s="6">
        <f>tblSales[[#This Row],[Profit]]/tblSales[[#This Row],[Sales]]</f>
        <v>0.25132221318144832</v>
      </c>
      <c r="L207" t="str">
        <f>TEXT(tblSales[[#This Row],[Order Date]],"mmm")</f>
        <v>Nov</v>
      </c>
      <c r="M207">
        <f>YEAR(tblSales[[#This Row],[Order Date]])</f>
        <v>2022</v>
      </c>
    </row>
    <row r="208" spans="1:13">
      <c r="A208" t="s">
        <v>448</v>
      </c>
      <c r="B208" s="1">
        <v>44870</v>
      </c>
      <c r="C208" t="s">
        <v>20</v>
      </c>
      <c r="D208" t="s">
        <v>73</v>
      </c>
      <c r="E208" t="s">
        <v>164</v>
      </c>
      <c r="F208" t="s">
        <v>449</v>
      </c>
      <c r="G208">
        <v>1214.33</v>
      </c>
      <c r="H208">
        <v>4</v>
      </c>
      <c r="I208">
        <v>347.42</v>
      </c>
      <c r="J208" t="s">
        <v>24</v>
      </c>
      <c r="K208" s="6">
        <f>tblSales[[#This Row],[Profit]]/tblSales[[#This Row],[Sales]]</f>
        <v>0.28610015399438377</v>
      </c>
      <c r="L208" t="str">
        <f>TEXT(tblSales[[#This Row],[Order Date]],"mmm")</f>
        <v>Nov</v>
      </c>
      <c r="M208">
        <f>YEAR(tblSales[[#This Row],[Order Date]])</f>
        <v>2022</v>
      </c>
    </row>
    <row r="209" spans="1:13">
      <c r="A209" t="s">
        <v>450</v>
      </c>
      <c r="B209" s="1">
        <v>44871</v>
      </c>
      <c r="C209" t="s">
        <v>20</v>
      </c>
      <c r="D209" t="s">
        <v>26</v>
      </c>
      <c r="E209" t="s">
        <v>34</v>
      </c>
      <c r="F209" t="s">
        <v>451</v>
      </c>
      <c r="G209">
        <v>600.42999999999995</v>
      </c>
      <c r="H209">
        <v>2</v>
      </c>
      <c r="I209">
        <v>31.97</v>
      </c>
      <c r="J209" t="s">
        <v>29</v>
      </c>
      <c r="K209" s="6">
        <f>tblSales[[#This Row],[Profit]]/tblSales[[#This Row],[Sales]]</f>
        <v>5.3245174291757576E-2</v>
      </c>
      <c r="L209" t="str">
        <f>TEXT(tblSales[[#This Row],[Order Date]],"mmm")</f>
        <v>Nov</v>
      </c>
      <c r="M209">
        <f>YEAR(tblSales[[#This Row],[Order Date]])</f>
        <v>2022</v>
      </c>
    </row>
    <row r="210" spans="1:13">
      <c r="A210" t="s">
        <v>452</v>
      </c>
      <c r="B210" s="1">
        <v>44872</v>
      </c>
      <c r="C210" t="s">
        <v>33</v>
      </c>
      <c r="D210" t="s">
        <v>40</v>
      </c>
      <c r="E210" t="s">
        <v>41</v>
      </c>
      <c r="F210" t="s">
        <v>453</v>
      </c>
      <c r="G210">
        <v>1699.29</v>
      </c>
      <c r="H210">
        <v>3</v>
      </c>
      <c r="I210">
        <v>332.65</v>
      </c>
      <c r="J210" t="s">
        <v>29</v>
      </c>
      <c r="K210" s="6">
        <f>tblSales[[#This Row],[Profit]]/tblSales[[#This Row],[Sales]]</f>
        <v>0.19575822843658233</v>
      </c>
      <c r="L210" t="str">
        <f>TEXT(tblSales[[#This Row],[Order Date]],"mmm")</f>
        <v>Nov</v>
      </c>
      <c r="M210">
        <f>YEAR(tblSales[[#This Row],[Order Date]])</f>
        <v>2022</v>
      </c>
    </row>
    <row r="211" spans="1:13">
      <c r="A211" t="s">
        <v>454</v>
      </c>
      <c r="B211" s="1">
        <v>44873</v>
      </c>
      <c r="C211" t="s">
        <v>33</v>
      </c>
      <c r="D211" t="s">
        <v>15</v>
      </c>
      <c r="E211" t="s">
        <v>16</v>
      </c>
      <c r="F211" t="s">
        <v>455</v>
      </c>
      <c r="G211">
        <v>1787.49</v>
      </c>
      <c r="H211">
        <v>5</v>
      </c>
      <c r="I211">
        <v>242.12</v>
      </c>
      <c r="J211" t="s">
        <v>18</v>
      </c>
      <c r="K211" s="6">
        <f>tblSales[[#This Row],[Profit]]/tblSales[[#This Row],[Sales]]</f>
        <v>0.13545250602800576</v>
      </c>
      <c r="L211" t="str">
        <f>TEXT(tblSales[[#This Row],[Order Date]],"mmm")</f>
        <v>Nov</v>
      </c>
      <c r="M211">
        <f>YEAR(tblSales[[#This Row],[Order Date]])</f>
        <v>2022</v>
      </c>
    </row>
    <row r="212" spans="1:13">
      <c r="A212" t="s">
        <v>456</v>
      </c>
      <c r="B212" s="1">
        <v>44874</v>
      </c>
      <c r="C212" t="s">
        <v>14</v>
      </c>
      <c r="D212" t="s">
        <v>21</v>
      </c>
      <c r="E212" t="s">
        <v>57</v>
      </c>
      <c r="F212" t="s">
        <v>457</v>
      </c>
      <c r="G212">
        <v>1188.78</v>
      </c>
      <c r="H212">
        <v>4</v>
      </c>
      <c r="I212">
        <v>244.93</v>
      </c>
      <c r="J212" t="s">
        <v>29</v>
      </c>
      <c r="K212" s="6">
        <f>tblSales[[#This Row],[Profit]]/tblSales[[#This Row],[Sales]]</f>
        <v>0.20603475832365956</v>
      </c>
      <c r="L212" t="str">
        <f>TEXT(tblSales[[#This Row],[Order Date]],"mmm")</f>
        <v>Nov</v>
      </c>
      <c r="M212">
        <f>YEAR(tblSales[[#This Row],[Order Date]])</f>
        <v>2022</v>
      </c>
    </row>
    <row r="213" spans="1:13">
      <c r="A213" t="s">
        <v>458</v>
      </c>
      <c r="B213" s="1">
        <v>44875</v>
      </c>
      <c r="C213" t="s">
        <v>14</v>
      </c>
      <c r="D213" t="s">
        <v>26</v>
      </c>
      <c r="E213" t="s">
        <v>34</v>
      </c>
      <c r="F213" t="s">
        <v>459</v>
      </c>
      <c r="G213">
        <v>883.53</v>
      </c>
      <c r="H213">
        <v>3</v>
      </c>
      <c r="I213">
        <v>253.67</v>
      </c>
      <c r="J213" t="s">
        <v>18</v>
      </c>
      <c r="K213" s="6">
        <f>tblSales[[#This Row],[Profit]]/tblSales[[#This Row],[Sales]]</f>
        <v>0.28710966237705565</v>
      </c>
      <c r="L213" t="str">
        <f>TEXT(tblSales[[#This Row],[Order Date]],"mmm")</f>
        <v>Nov</v>
      </c>
      <c r="M213">
        <f>YEAR(tblSales[[#This Row],[Order Date]])</f>
        <v>2022</v>
      </c>
    </row>
    <row r="214" spans="1:13">
      <c r="A214" t="s">
        <v>460</v>
      </c>
      <c r="B214" s="1">
        <v>44876</v>
      </c>
      <c r="C214" t="s">
        <v>39</v>
      </c>
      <c r="D214" t="s">
        <v>15</v>
      </c>
      <c r="E214" t="s">
        <v>79</v>
      </c>
      <c r="F214" t="s">
        <v>461</v>
      </c>
      <c r="G214">
        <v>246.19</v>
      </c>
      <c r="H214">
        <v>8</v>
      </c>
      <c r="I214">
        <v>72.959999999999994</v>
      </c>
      <c r="J214" t="s">
        <v>18</v>
      </c>
      <c r="K214" s="6">
        <f>tblSales[[#This Row],[Profit]]/tblSales[[#This Row],[Sales]]</f>
        <v>0.29635647264308052</v>
      </c>
      <c r="L214" t="str">
        <f>TEXT(tblSales[[#This Row],[Order Date]],"mmm")</f>
        <v>Nov</v>
      </c>
      <c r="M214">
        <f>YEAR(tblSales[[#This Row],[Order Date]])</f>
        <v>2022</v>
      </c>
    </row>
    <row r="215" spans="1:13">
      <c r="A215" t="s">
        <v>462</v>
      </c>
      <c r="B215" s="1">
        <v>44877</v>
      </c>
      <c r="C215" t="s">
        <v>33</v>
      </c>
      <c r="D215" t="s">
        <v>40</v>
      </c>
      <c r="E215" t="s">
        <v>92</v>
      </c>
      <c r="F215" t="s">
        <v>463</v>
      </c>
      <c r="G215">
        <v>380.57</v>
      </c>
      <c r="H215">
        <v>2</v>
      </c>
      <c r="I215">
        <v>21.17</v>
      </c>
      <c r="J215" t="s">
        <v>24</v>
      </c>
      <c r="K215" s="6">
        <f>tblSales[[#This Row],[Profit]]/tblSales[[#This Row],[Sales]]</f>
        <v>5.562708568725859E-2</v>
      </c>
      <c r="L215" t="str">
        <f>TEXT(tblSales[[#This Row],[Order Date]],"mmm")</f>
        <v>Nov</v>
      </c>
      <c r="M215">
        <f>YEAR(tblSales[[#This Row],[Order Date]])</f>
        <v>2022</v>
      </c>
    </row>
    <row r="216" spans="1:13">
      <c r="A216" t="s">
        <v>464</v>
      </c>
      <c r="B216" s="1">
        <v>44878</v>
      </c>
      <c r="C216" t="s">
        <v>14</v>
      </c>
      <c r="D216" t="s">
        <v>73</v>
      </c>
      <c r="E216" t="s">
        <v>164</v>
      </c>
      <c r="F216" t="s">
        <v>465</v>
      </c>
      <c r="G216">
        <v>1092.44</v>
      </c>
      <c r="H216">
        <v>9</v>
      </c>
      <c r="I216">
        <v>125.05</v>
      </c>
      <c r="J216" t="s">
        <v>24</v>
      </c>
      <c r="K216" s="6">
        <f>tblSales[[#This Row],[Profit]]/tblSales[[#This Row],[Sales]]</f>
        <v>0.11446852916407307</v>
      </c>
      <c r="L216" t="str">
        <f>TEXT(tblSales[[#This Row],[Order Date]],"mmm")</f>
        <v>Nov</v>
      </c>
      <c r="M216">
        <f>YEAR(tblSales[[#This Row],[Order Date]])</f>
        <v>2022</v>
      </c>
    </row>
    <row r="217" spans="1:13">
      <c r="A217" t="s">
        <v>466</v>
      </c>
      <c r="B217" s="1">
        <v>44879</v>
      </c>
      <c r="C217" t="s">
        <v>14</v>
      </c>
      <c r="D217" t="s">
        <v>40</v>
      </c>
      <c r="E217" t="s">
        <v>92</v>
      </c>
      <c r="F217" t="s">
        <v>467</v>
      </c>
      <c r="G217">
        <v>281.91000000000003</v>
      </c>
      <c r="H217">
        <v>2</v>
      </c>
      <c r="I217">
        <v>33.29</v>
      </c>
      <c r="J217" t="s">
        <v>24</v>
      </c>
      <c r="K217" s="6">
        <f>tblSales[[#This Row],[Profit]]/tblSales[[#This Row],[Sales]]</f>
        <v>0.11808733283672093</v>
      </c>
      <c r="L217" t="str">
        <f>TEXT(tblSales[[#This Row],[Order Date]],"mmm")</f>
        <v>Nov</v>
      </c>
      <c r="M217">
        <f>YEAR(tblSales[[#This Row],[Order Date]])</f>
        <v>2022</v>
      </c>
    </row>
    <row r="218" spans="1:13">
      <c r="A218" t="s">
        <v>468</v>
      </c>
      <c r="B218" s="1">
        <v>44880</v>
      </c>
      <c r="C218" t="s">
        <v>20</v>
      </c>
      <c r="D218" t="s">
        <v>73</v>
      </c>
      <c r="E218" t="s">
        <v>164</v>
      </c>
      <c r="F218" t="s">
        <v>469</v>
      </c>
      <c r="G218">
        <v>1830.31</v>
      </c>
      <c r="H218">
        <v>5</v>
      </c>
      <c r="I218">
        <v>464.47</v>
      </c>
      <c r="J218" t="s">
        <v>29</v>
      </c>
      <c r="K218" s="6">
        <f>tblSales[[#This Row],[Profit]]/tblSales[[#This Row],[Sales]]</f>
        <v>0.25376575552775216</v>
      </c>
      <c r="L218" t="str">
        <f>TEXT(tblSales[[#This Row],[Order Date]],"mmm")</f>
        <v>Nov</v>
      </c>
      <c r="M218">
        <f>YEAR(tblSales[[#This Row],[Order Date]])</f>
        <v>2022</v>
      </c>
    </row>
    <row r="219" spans="1:13">
      <c r="A219" t="s">
        <v>470</v>
      </c>
      <c r="B219" s="1">
        <v>44881</v>
      </c>
      <c r="C219" t="s">
        <v>20</v>
      </c>
      <c r="D219" t="s">
        <v>26</v>
      </c>
      <c r="E219" t="s">
        <v>34</v>
      </c>
      <c r="F219" t="s">
        <v>471</v>
      </c>
      <c r="G219">
        <v>153.01</v>
      </c>
      <c r="H219">
        <v>5</v>
      </c>
      <c r="I219">
        <v>32.57</v>
      </c>
      <c r="J219" t="s">
        <v>29</v>
      </c>
      <c r="K219" s="6">
        <f>tblSales[[#This Row],[Profit]]/tblSales[[#This Row],[Sales]]</f>
        <v>0.2128619044506895</v>
      </c>
      <c r="L219" t="str">
        <f>TEXT(tblSales[[#This Row],[Order Date]],"mmm")</f>
        <v>Nov</v>
      </c>
      <c r="M219">
        <f>YEAR(tblSales[[#This Row],[Order Date]])</f>
        <v>2022</v>
      </c>
    </row>
    <row r="220" spans="1:13">
      <c r="A220" t="s">
        <v>472</v>
      </c>
      <c r="B220" s="1">
        <v>44882</v>
      </c>
      <c r="C220" t="s">
        <v>33</v>
      </c>
      <c r="D220" t="s">
        <v>40</v>
      </c>
      <c r="E220" t="s">
        <v>92</v>
      </c>
      <c r="F220" t="s">
        <v>473</v>
      </c>
      <c r="G220">
        <v>428.71</v>
      </c>
      <c r="H220">
        <v>6</v>
      </c>
      <c r="I220">
        <v>36.11</v>
      </c>
      <c r="J220" t="s">
        <v>29</v>
      </c>
      <c r="K220" s="6">
        <f>tblSales[[#This Row],[Profit]]/tblSales[[#This Row],[Sales]]</f>
        <v>8.4229432483496999E-2</v>
      </c>
      <c r="L220" t="str">
        <f>TEXT(tblSales[[#This Row],[Order Date]],"mmm")</f>
        <v>Nov</v>
      </c>
      <c r="M220">
        <f>YEAR(tblSales[[#This Row],[Order Date]])</f>
        <v>2022</v>
      </c>
    </row>
    <row r="221" spans="1:13">
      <c r="A221" t="s">
        <v>474</v>
      </c>
      <c r="B221" s="1">
        <v>44883</v>
      </c>
      <c r="C221" t="s">
        <v>39</v>
      </c>
      <c r="D221" t="s">
        <v>40</v>
      </c>
      <c r="E221" t="s">
        <v>92</v>
      </c>
      <c r="F221" t="s">
        <v>475</v>
      </c>
      <c r="G221">
        <v>1469.73</v>
      </c>
      <c r="H221">
        <v>2</v>
      </c>
      <c r="I221">
        <v>294.14</v>
      </c>
      <c r="J221" t="s">
        <v>29</v>
      </c>
      <c r="K221" s="6">
        <f>tblSales[[#This Row],[Profit]]/tblSales[[#This Row],[Sales]]</f>
        <v>0.20013199703346873</v>
      </c>
      <c r="L221" t="str">
        <f>TEXT(tblSales[[#This Row],[Order Date]],"mmm")</f>
        <v>Nov</v>
      </c>
      <c r="M221">
        <f>YEAR(tblSales[[#This Row],[Order Date]])</f>
        <v>2022</v>
      </c>
    </row>
    <row r="222" spans="1:13">
      <c r="A222" t="s">
        <v>476</v>
      </c>
      <c r="B222" s="1">
        <v>44884</v>
      </c>
      <c r="C222" t="s">
        <v>20</v>
      </c>
      <c r="D222" t="s">
        <v>15</v>
      </c>
      <c r="E222" t="s">
        <v>16</v>
      </c>
      <c r="F222" t="s">
        <v>205</v>
      </c>
      <c r="G222">
        <v>1830.54</v>
      </c>
      <c r="H222">
        <v>5</v>
      </c>
      <c r="I222">
        <v>266.86</v>
      </c>
      <c r="J222" t="s">
        <v>24</v>
      </c>
      <c r="K222" s="6">
        <f>tblSales[[#This Row],[Profit]]/tblSales[[#This Row],[Sales]]</f>
        <v>0.14578211893758128</v>
      </c>
      <c r="L222" t="str">
        <f>TEXT(tblSales[[#This Row],[Order Date]],"mmm")</f>
        <v>Nov</v>
      </c>
      <c r="M222">
        <f>YEAR(tblSales[[#This Row],[Order Date]])</f>
        <v>2022</v>
      </c>
    </row>
    <row r="223" spans="1:13">
      <c r="A223" t="s">
        <v>477</v>
      </c>
      <c r="B223" s="1">
        <v>44885</v>
      </c>
      <c r="C223" t="s">
        <v>20</v>
      </c>
      <c r="D223" t="s">
        <v>26</v>
      </c>
      <c r="E223" t="s">
        <v>34</v>
      </c>
      <c r="F223" t="s">
        <v>478</v>
      </c>
      <c r="G223">
        <v>112.99</v>
      </c>
      <c r="H223">
        <v>6</v>
      </c>
      <c r="I223">
        <v>26.5</v>
      </c>
      <c r="J223" t="s">
        <v>18</v>
      </c>
      <c r="K223" s="6">
        <f>tblSales[[#This Row],[Profit]]/tblSales[[#This Row],[Sales]]</f>
        <v>0.23453402956013808</v>
      </c>
      <c r="L223" t="str">
        <f>TEXT(tblSales[[#This Row],[Order Date]],"mmm")</f>
        <v>Nov</v>
      </c>
      <c r="M223">
        <f>YEAR(tblSales[[#This Row],[Order Date]])</f>
        <v>2022</v>
      </c>
    </row>
    <row r="224" spans="1:13">
      <c r="A224" t="s">
        <v>479</v>
      </c>
      <c r="B224" s="1">
        <v>44886</v>
      </c>
      <c r="C224" t="s">
        <v>39</v>
      </c>
      <c r="D224" t="s">
        <v>21</v>
      </c>
      <c r="E224" t="s">
        <v>22</v>
      </c>
      <c r="F224" t="s">
        <v>480</v>
      </c>
      <c r="G224">
        <v>1546.55</v>
      </c>
      <c r="H224">
        <v>5</v>
      </c>
      <c r="I224">
        <v>400.97</v>
      </c>
      <c r="J224" t="s">
        <v>24</v>
      </c>
      <c r="K224" s="6">
        <f>tblSales[[#This Row],[Profit]]/tblSales[[#This Row],[Sales]]</f>
        <v>0.25926740163589929</v>
      </c>
      <c r="L224" t="str">
        <f>TEXT(tblSales[[#This Row],[Order Date]],"mmm")</f>
        <v>Nov</v>
      </c>
      <c r="M224">
        <f>YEAR(tblSales[[#This Row],[Order Date]])</f>
        <v>2022</v>
      </c>
    </row>
    <row r="225" spans="1:13">
      <c r="A225" t="s">
        <v>481</v>
      </c>
      <c r="B225" s="1">
        <v>44887</v>
      </c>
      <c r="C225" t="s">
        <v>14</v>
      </c>
      <c r="D225" t="s">
        <v>15</v>
      </c>
      <c r="E225" t="s">
        <v>16</v>
      </c>
      <c r="F225" t="s">
        <v>482</v>
      </c>
      <c r="G225">
        <v>1443.71</v>
      </c>
      <c r="H225">
        <v>7</v>
      </c>
      <c r="I225">
        <v>292.5</v>
      </c>
      <c r="J225" t="s">
        <v>18</v>
      </c>
      <c r="K225" s="6">
        <f>tblSales[[#This Row],[Profit]]/tblSales[[#This Row],[Sales]]</f>
        <v>0.20260301584113152</v>
      </c>
      <c r="L225" t="str">
        <f>TEXT(tblSales[[#This Row],[Order Date]],"mmm")</f>
        <v>Nov</v>
      </c>
      <c r="M225">
        <f>YEAR(tblSales[[#This Row],[Order Date]])</f>
        <v>2022</v>
      </c>
    </row>
    <row r="226" spans="1:13">
      <c r="A226" t="s">
        <v>483</v>
      </c>
      <c r="B226" s="1">
        <v>44888</v>
      </c>
      <c r="C226" t="s">
        <v>20</v>
      </c>
      <c r="D226" t="s">
        <v>73</v>
      </c>
      <c r="E226" t="s">
        <v>84</v>
      </c>
      <c r="F226" t="s">
        <v>484</v>
      </c>
      <c r="G226">
        <v>805.37</v>
      </c>
      <c r="H226">
        <v>8</v>
      </c>
      <c r="I226">
        <v>228.89</v>
      </c>
      <c r="J226" t="s">
        <v>24</v>
      </c>
      <c r="K226" s="6">
        <f>tblSales[[#This Row],[Profit]]/tblSales[[#This Row],[Sales]]</f>
        <v>0.28420477544482659</v>
      </c>
      <c r="L226" t="str">
        <f>TEXT(tblSales[[#This Row],[Order Date]],"mmm")</f>
        <v>Nov</v>
      </c>
      <c r="M226">
        <f>YEAR(tblSales[[#This Row],[Order Date]])</f>
        <v>2022</v>
      </c>
    </row>
    <row r="227" spans="1:13">
      <c r="A227" t="s">
        <v>485</v>
      </c>
      <c r="B227" s="1">
        <v>44889</v>
      </c>
      <c r="C227" t="s">
        <v>20</v>
      </c>
      <c r="D227" t="s">
        <v>40</v>
      </c>
      <c r="E227" t="s">
        <v>41</v>
      </c>
      <c r="F227" t="s">
        <v>486</v>
      </c>
      <c r="G227">
        <v>445.58</v>
      </c>
      <c r="H227">
        <v>4</v>
      </c>
      <c r="I227">
        <v>82.41</v>
      </c>
      <c r="J227" t="s">
        <v>29</v>
      </c>
      <c r="K227" s="6">
        <f>tblSales[[#This Row],[Profit]]/tblSales[[#This Row],[Sales]]</f>
        <v>0.18494995287041607</v>
      </c>
      <c r="L227" t="str">
        <f>TEXT(tblSales[[#This Row],[Order Date]],"mmm")</f>
        <v>Nov</v>
      </c>
      <c r="M227">
        <f>YEAR(tblSales[[#This Row],[Order Date]])</f>
        <v>2022</v>
      </c>
    </row>
    <row r="228" spans="1:13">
      <c r="A228" t="s">
        <v>487</v>
      </c>
      <c r="B228" s="1">
        <v>44890</v>
      </c>
      <c r="C228" t="s">
        <v>14</v>
      </c>
      <c r="D228" t="s">
        <v>26</v>
      </c>
      <c r="E228" t="s">
        <v>49</v>
      </c>
      <c r="F228" t="s">
        <v>488</v>
      </c>
      <c r="G228">
        <v>1002.81</v>
      </c>
      <c r="H228">
        <v>2</v>
      </c>
      <c r="I228">
        <v>206.41</v>
      </c>
      <c r="J228" t="s">
        <v>24</v>
      </c>
      <c r="K228" s="6">
        <f>tblSales[[#This Row],[Profit]]/tblSales[[#This Row],[Sales]]</f>
        <v>0.20583161316700074</v>
      </c>
      <c r="L228" t="str">
        <f>TEXT(tblSales[[#This Row],[Order Date]],"mmm")</f>
        <v>Nov</v>
      </c>
      <c r="M228">
        <f>YEAR(tblSales[[#This Row],[Order Date]])</f>
        <v>2022</v>
      </c>
    </row>
    <row r="229" spans="1:13">
      <c r="A229" t="s">
        <v>489</v>
      </c>
      <c r="B229" s="1">
        <v>44891</v>
      </c>
      <c r="C229" t="s">
        <v>33</v>
      </c>
      <c r="D229" t="s">
        <v>40</v>
      </c>
      <c r="E229" t="s">
        <v>44</v>
      </c>
      <c r="F229" t="s">
        <v>45</v>
      </c>
      <c r="G229">
        <v>168.77</v>
      </c>
      <c r="H229">
        <v>1</v>
      </c>
      <c r="I229">
        <v>25.86</v>
      </c>
      <c r="J229" t="s">
        <v>18</v>
      </c>
      <c r="K229" s="6">
        <f>tblSales[[#This Row],[Profit]]/tblSales[[#This Row],[Sales]]</f>
        <v>0.15322628429223201</v>
      </c>
      <c r="L229" t="str">
        <f>TEXT(tblSales[[#This Row],[Order Date]],"mmm")</f>
        <v>Nov</v>
      </c>
      <c r="M229">
        <f>YEAR(tblSales[[#This Row],[Order Date]])</f>
        <v>2022</v>
      </c>
    </row>
    <row r="230" spans="1:13">
      <c r="A230" t="s">
        <v>490</v>
      </c>
      <c r="B230" s="1">
        <v>44892</v>
      </c>
      <c r="C230" t="s">
        <v>33</v>
      </c>
      <c r="D230" t="s">
        <v>15</v>
      </c>
      <c r="E230" t="s">
        <v>52</v>
      </c>
      <c r="F230" t="s">
        <v>491</v>
      </c>
      <c r="G230">
        <v>1204.6099999999999</v>
      </c>
      <c r="H230">
        <v>9</v>
      </c>
      <c r="I230">
        <v>134.44</v>
      </c>
      <c r="J230" t="s">
        <v>29</v>
      </c>
      <c r="K230" s="6">
        <f>tblSales[[#This Row],[Profit]]/tblSales[[#This Row],[Sales]]</f>
        <v>0.11160458571653897</v>
      </c>
      <c r="L230" t="str">
        <f>TEXT(tblSales[[#This Row],[Order Date]],"mmm")</f>
        <v>Nov</v>
      </c>
      <c r="M230">
        <f>YEAR(tblSales[[#This Row],[Order Date]])</f>
        <v>2022</v>
      </c>
    </row>
    <row r="231" spans="1:13">
      <c r="A231" t="s">
        <v>492</v>
      </c>
      <c r="B231" s="1">
        <v>44893</v>
      </c>
      <c r="C231" t="s">
        <v>14</v>
      </c>
      <c r="D231" t="s">
        <v>26</v>
      </c>
      <c r="E231" t="s">
        <v>27</v>
      </c>
      <c r="F231" t="s">
        <v>493</v>
      </c>
      <c r="G231">
        <v>1395.5</v>
      </c>
      <c r="H231">
        <v>6</v>
      </c>
      <c r="I231">
        <v>275.69</v>
      </c>
      <c r="J231" t="s">
        <v>18</v>
      </c>
      <c r="K231" s="6">
        <f>tblSales[[#This Row],[Profit]]/tblSales[[#This Row],[Sales]]</f>
        <v>0.19755643138659978</v>
      </c>
      <c r="L231" t="str">
        <f>TEXT(tblSales[[#This Row],[Order Date]],"mmm")</f>
        <v>Nov</v>
      </c>
      <c r="M231">
        <f>YEAR(tblSales[[#This Row],[Order Date]])</f>
        <v>2022</v>
      </c>
    </row>
    <row r="232" spans="1:13">
      <c r="A232" t="s">
        <v>494</v>
      </c>
      <c r="B232" s="1">
        <v>44894</v>
      </c>
      <c r="C232" t="s">
        <v>39</v>
      </c>
      <c r="D232" t="s">
        <v>73</v>
      </c>
      <c r="E232" t="s">
        <v>74</v>
      </c>
      <c r="F232" t="s">
        <v>495</v>
      </c>
      <c r="G232">
        <v>201.33</v>
      </c>
      <c r="H232">
        <v>1</v>
      </c>
      <c r="I232">
        <v>16.95</v>
      </c>
      <c r="J232" t="s">
        <v>18</v>
      </c>
      <c r="K232" s="6">
        <f>tblSales[[#This Row],[Profit]]/tblSales[[#This Row],[Sales]]</f>
        <v>8.4190135598271487E-2</v>
      </c>
      <c r="L232" t="str">
        <f>TEXT(tblSales[[#This Row],[Order Date]],"mmm")</f>
        <v>Nov</v>
      </c>
      <c r="M232">
        <f>YEAR(tblSales[[#This Row],[Order Date]])</f>
        <v>2022</v>
      </c>
    </row>
    <row r="233" spans="1:13">
      <c r="A233" t="s">
        <v>496</v>
      </c>
      <c r="B233" s="1">
        <v>44895</v>
      </c>
      <c r="C233" t="s">
        <v>39</v>
      </c>
      <c r="D233" t="s">
        <v>15</v>
      </c>
      <c r="E233" t="s">
        <v>79</v>
      </c>
      <c r="F233" t="s">
        <v>497</v>
      </c>
      <c r="G233">
        <v>903.09</v>
      </c>
      <c r="H233">
        <v>8</v>
      </c>
      <c r="I233">
        <v>216.38</v>
      </c>
      <c r="J233" t="s">
        <v>29</v>
      </c>
      <c r="K233" s="6">
        <f>tblSales[[#This Row],[Profit]]/tblSales[[#This Row],[Sales]]</f>
        <v>0.23959959693939695</v>
      </c>
      <c r="L233" t="str">
        <f>TEXT(tblSales[[#This Row],[Order Date]],"mmm")</f>
        <v>Nov</v>
      </c>
      <c r="M233">
        <f>YEAR(tblSales[[#This Row],[Order Date]])</f>
        <v>2022</v>
      </c>
    </row>
    <row r="234" spans="1:13">
      <c r="A234" t="s">
        <v>498</v>
      </c>
      <c r="B234" s="1">
        <v>44896</v>
      </c>
      <c r="C234" t="s">
        <v>39</v>
      </c>
      <c r="D234" t="s">
        <v>15</v>
      </c>
      <c r="E234" t="s">
        <v>52</v>
      </c>
      <c r="F234" t="s">
        <v>53</v>
      </c>
      <c r="G234">
        <v>1324.39</v>
      </c>
      <c r="H234">
        <v>6</v>
      </c>
      <c r="I234">
        <v>277.20999999999998</v>
      </c>
      <c r="J234" t="s">
        <v>24</v>
      </c>
      <c r="K234" s="6">
        <f>tblSales[[#This Row],[Profit]]/tblSales[[#This Row],[Sales]]</f>
        <v>0.20931145659511169</v>
      </c>
      <c r="L234" t="str">
        <f>TEXT(tblSales[[#This Row],[Order Date]],"mmm")</f>
        <v>Dec</v>
      </c>
      <c r="M234">
        <f>YEAR(tblSales[[#This Row],[Order Date]])</f>
        <v>2022</v>
      </c>
    </row>
    <row r="235" spans="1:13">
      <c r="A235" t="s">
        <v>499</v>
      </c>
      <c r="B235" s="1">
        <v>44897</v>
      </c>
      <c r="C235" t="s">
        <v>33</v>
      </c>
      <c r="D235" t="s">
        <v>73</v>
      </c>
      <c r="E235" t="s">
        <v>74</v>
      </c>
      <c r="F235" t="s">
        <v>500</v>
      </c>
      <c r="G235">
        <v>1808.66</v>
      </c>
      <c r="H235">
        <v>9</v>
      </c>
      <c r="I235">
        <v>517.29999999999995</v>
      </c>
      <c r="J235" t="s">
        <v>29</v>
      </c>
      <c r="K235" s="6">
        <f>tblSales[[#This Row],[Profit]]/tblSales[[#This Row],[Sales]]</f>
        <v>0.28601284929174081</v>
      </c>
      <c r="L235" t="str">
        <f>TEXT(tblSales[[#This Row],[Order Date]],"mmm")</f>
        <v>Dec</v>
      </c>
      <c r="M235">
        <f>YEAR(tblSales[[#This Row],[Order Date]])</f>
        <v>2022</v>
      </c>
    </row>
    <row r="236" spans="1:13">
      <c r="A236" t="s">
        <v>501</v>
      </c>
      <c r="B236" s="1">
        <v>44898</v>
      </c>
      <c r="C236" t="s">
        <v>20</v>
      </c>
      <c r="D236" t="s">
        <v>40</v>
      </c>
      <c r="E236" t="s">
        <v>92</v>
      </c>
      <c r="F236" t="s">
        <v>502</v>
      </c>
      <c r="G236">
        <v>1417.04</v>
      </c>
      <c r="H236">
        <v>7</v>
      </c>
      <c r="I236">
        <v>424.88</v>
      </c>
      <c r="J236" t="s">
        <v>29</v>
      </c>
      <c r="K236" s="6">
        <f>tblSales[[#This Row],[Profit]]/tblSales[[#This Row],[Sales]]</f>
        <v>0.29983627843956417</v>
      </c>
      <c r="L236" t="str">
        <f>TEXT(tblSales[[#This Row],[Order Date]],"mmm")</f>
        <v>Dec</v>
      </c>
      <c r="M236">
        <f>YEAR(tblSales[[#This Row],[Order Date]])</f>
        <v>2022</v>
      </c>
    </row>
    <row r="237" spans="1:13">
      <c r="A237" t="s">
        <v>503</v>
      </c>
      <c r="B237" s="1">
        <v>44899</v>
      </c>
      <c r="C237" t="s">
        <v>33</v>
      </c>
      <c r="D237" t="s">
        <v>15</v>
      </c>
      <c r="E237" t="s">
        <v>52</v>
      </c>
      <c r="F237" t="s">
        <v>504</v>
      </c>
      <c r="G237">
        <v>87.21</v>
      </c>
      <c r="H237">
        <v>5</v>
      </c>
      <c r="I237">
        <v>20.3</v>
      </c>
      <c r="J237" t="s">
        <v>24</v>
      </c>
      <c r="K237" s="6">
        <f>tblSales[[#This Row],[Profit]]/tblSales[[#This Row],[Sales]]</f>
        <v>0.23277147116156408</v>
      </c>
      <c r="L237" t="str">
        <f>TEXT(tblSales[[#This Row],[Order Date]],"mmm")</f>
        <v>Dec</v>
      </c>
      <c r="M237">
        <f>YEAR(tblSales[[#This Row],[Order Date]])</f>
        <v>2022</v>
      </c>
    </row>
    <row r="238" spans="1:13">
      <c r="A238" t="s">
        <v>505</v>
      </c>
      <c r="B238" s="1">
        <v>44900</v>
      </c>
      <c r="C238" t="s">
        <v>39</v>
      </c>
      <c r="D238" t="s">
        <v>40</v>
      </c>
      <c r="E238" t="s">
        <v>44</v>
      </c>
      <c r="F238" t="s">
        <v>506</v>
      </c>
      <c r="G238">
        <v>1942.7</v>
      </c>
      <c r="H238">
        <v>7</v>
      </c>
      <c r="I238">
        <v>483.41</v>
      </c>
      <c r="J238" t="s">
        <v>18</v>
      </c>
      <c r="K238" s="6">
        <f>tblSales[[#This Row],[Profit]]/tblSales[[#This Row],[Sales]]</f>
        <v>0.24883409687548258</v>
      </c>
      <c r="L238" t="str">
        <f>TEXT(tblSales[[#This Row],[Order Date]],"mmm")</f>
        <v>Dec</v>
      </c>
      <c r="M238">
        <f>YEAR(tblSales[[#This Row],[Order Date]])</f>
        <v>2022</v>
      </c>
    </row>
    <row r="239" spans="1:13">
      <c r="A239" t="s">
        <v>507</v>
      </c>
      <c r="B239" s="1">
        <v>44901</v>
      </c>
      <c r="C239" t="s">
        <v>14</v>
      </c>
      <c r="D239" t="s">
        <v>40</v>
      </c>
      <c r="E239" t="s">
        <v>92</v>
      </c>
      <c r="F239" t="s">
        <v>508</v>
      </c>
      <c r="G239">
        <v>1692.21</v>
      </c>
      <c r="H239">
        <v>2</v>
      </c>
      <c r="I239">
        <v>305.63</v>
      </c>
      <c r="J239" t="s">
        <v>24</v>
      </c>
      <c r="K239" s="6">
        <f>tblSales[[#This Row],[Profit]]/tblSales[[#This Row],[Sales]]</f>
        <v>0.18060997157563186</v>
      </c>
      <c r="L239" t="str">
        <f>TEXT(tblSales[[#This Row],[Order Date]],"mmm")</f>
        <v>Dec</v>
      </c>
      <c r="M239">
        <f>YEAR(tblSales[[#This Row],[Order Date]])</f>
        <v>2022</v>
      </c>
    </row>
    <row r="240" spans="1:13">
      <c r="A240" t="s">
        <v>509</v>
      </c>
      <c r="B240" s="1">
        <v>44902</v>
      </c>
      <c r="C240" t="s">
        <v>39</v>
      </c>
      <c r="D240" t="s">
        <v>26</v>
      </c>
      <c r="E240" t="s">
        <v>34</v>
      </c>
      <c r="F240" t="s">
        <v>510</v>
      </c>
      <c r="G240">
        <v>1307.33</v>
      </c>
      <c r="H240">
        <v>8</v>
      </c>
      <c r="I240">
        <v>140.54</v>
      </c>
      <c r="J240" t="s">
        <v>29</v>
      </c>
      <c r="K240" s="6">
        <f>tblSales[[#This Row],[Profit]]/tblSales[[#This Row],[Sales]]</f>
        <v>0.1075015489585644</v>
      </c>
      <c r="L240" t="str">
        <f>TEXT(tblSales[[#This Row],[Order Date]],"mmm")</f>
        <v>Dec</v>
      </c>
      <c r="M240">
        <f>YEAR(tblSales[[#This Row],[Order Date]])</f>
        <v>2022</v>
      </c>
    </row>
    <row r="241" spans="1:13">
      <c r="A241" t="s">
        <v>511</v>
      </c>
      <c r="B241" s="1">
        <v>44903</v>
      </c>
      <c r="C241" t="s">
        <v>20</v>
      </c>
      <c r="D241" t="s">
        <v>40</v>
      </c>
      <c r="E241" t="s">
        <v>92</v>
      </c>
      <c r="F241" t="s">
        <v>512</v>
      </c>
      <c r="G241">
        <v>172.37</v>
      </c>
      <c r="H241">
        <v>5</v>
      </c>
      <c r="I241">
        <v>31.47</v>
      </c>
      <c r="J241" t="s">
        <v>24</v>
      </c>
      <c r="K241" s="6">
        <f>tblSales[[#This Row],[Profit]]/tblSales[[#This Row],[Sales]]</f>
        <v>0.18257237338283924</v>
      </c>
      <c r="L241" t="str">
        <f>TEXT(tblSales[[#This Row],[Order Date]],"mmm")</f>
        <v>Dec</v>
      </c>
      <c r="M241">
        <f>YEAR(tblSales[[#This Row],[Order Date]])</f>
        <v>2022</v>
      </c>
    </row>
    <row r="242" spans="1:13">
      <c r="A242" t="s">
        <v>513</v>
      </c>
      <c r="B242" s="1">
        <v>44904</v>
      </c>
      <c r="C242" t="s">
        <v>20</v>
      </c>
      <c r="D242" t="s">
        <v>15</v>
      </c>
      <c r="E242" t="s">
        <v>79</v>
      </c>
      <c r="F242" t="s">
        <v>514</v>
      </c>
      <c r="G242">
        <v>1153.4100000000001</v>
      </c>
      <c r="H242">
        <v>8</v>
      </c>
      <c r="I242">
        <v>213.23</v>
      </c>
      <c r="J242" t="s">
        <v>29</v>
      </c>
      <c r="K242" s="6">
        <f>tblSales[[#This Row],[Profit]]/tblSales[[#This Row],[Sales]]</f>
        <v>0.18486921389618607</v>
      </c>
      <c r="L242" t="str">
        <f>TEXT(tblSales[[#This Row],[Order Date]],"mmm")</f>
        <v>Dec</v>
      </c>
      <c r="M242">
        <f>YEAR(tblSales[[#This Row],[Order Date]])</f>
        <v>2022</v>
      </c>
    </row>
    <row r="243" spans="1:13">
      <c r="A243" t="s">
        <v>515</v>
      </c>
      <c r="B243" s="1">
        <v>44905</v>
      </c>
      <c r="C243" t="s">
        <v>14</v>
      </c>
      <c r="D243" t="s">
        <v>26</v>
      </c>
      <c r="E243" t="s">
        <v>49</v>
      </c>
      <c r="F243" t="s">
        <v>257</v>
      </c>
      <c r="G243">
        <v>1480.95</v>
      </c>
      <c r="H243">
        <v>1</v>
      </c>
      <c r="I243">
        <v>402.07</v>
      </c>
      <c r="J243" t="s">
        <v>24</v>
      </c>
      <c r="K243" s="6">
        <f>tblSales[[#This Row],[Profit]]/tblSales[[#This Row],[Sales]]</f>
        <v>0.271494648705223</v>
      </c>
      <c r="L243" t="str">
        <f>TEXT(tblSales[[#This Row],[Order Date]],"mmm")</f>
        <v>Dec</v>
      </c>
      <c r="M243">
        <f>YEAR(tblSales[[#This Row],[Order Date]])</f>
        <v>2022</v>
      </c>
    </row>
    <row r="244" spans="1:13">
      <c r="A244" t="s">
        <v>516</v>
      </c>
      <c r="B244" s="1">
        <v>44906</v>
      </c>
      <c r="C244" t="s">
        <v>33</v>
      </c>
      <c r="D244" t="s">
        <v>26</v>
      </c>
      <c r="E244" t="s">
        <v>27</v>
      </c>
      <c r="F244" t="s">
        <v>493</v>
      </c>
      <c r="G244">
        <v>481.26</v>
      </c>
      <c r="H244">
        <v>7</v>
      </c>
      <c r="I244">
        <v>79.64</v>
      </c>
      <c r="J244" t="s">
        <v>29</v>
      </c>
      <c r="K244" s="6">
        <f>tblSales[[#This Row],[Profit]]/tblSales[[#This Row],[Sales]]</f>
        <v>0.16548227569297261</v>
      </c>
      <c r="L244" t="str">
        <f>TEXT(tblSales[[#This Row],[Order Date]],"mmm")</f>
        <v>Dec</v>
      </c>
      <c r="M244">
        <f>YEAR(tblSales[[#This Row],[Order Date]])</f>
        <v>2022</v>
      </c>
    </row>
    <row r="245" spans="1:13">
      <c r="A245" t="s">
        <v>517</v>
      </c>
      <c r="B245" s="1">
        <v>44907</v>
      </c>
      <c r="C245" t="s">
        <v>14</v>
      </c>
      <c r="D245" t="s">
        <v>15</v>
      </c>
      <c r="E245" t="s">
        <v>60</v>
      </c>
      <c r="F245" t="s">
        <v>518</v>
      </c>
      <c r="G245">
        <v>20.47</v>
      </c>
      <c r="H245">
        <v>2</v>
      </c>
      <c r="I245">
        <v>5.83</v>
      </c>
      <c r="J245" t="s">
        <v>29</v>
      </c>
      <c r="K245" s="6">
        <f>tblSales[[#This Row],[Profit]]/tblSales[[#This Row],[Sales]]</f>
        <v>0.28480703468490476</v>
      </c>
      <c r="L245" t="str">
        <f>TEXT(tblSales[[#This Row],[Order Date]],"mmm")</f>
        <v>Dec</v>
      </c>
      <c r="M245">
        <f>YEAR(tblSales[[#This Row],[Order Date]])</f>
        <v>2022</v>
      </c>
    </row>
    <row r="246" spans="1:13">
      <c r="A246" t="s">
        <v>519</v>
      </c>
      <c r="B246" s="1">
        <v>44908</v>
      </c>
      <c r="C246" t="s">
        <v>20</v>
      </c>
      <c r="D246" t="s">
        <v>26</v>
      </c>
      <c r="E246" t="s">
        <v>49</v>
      </c>
      <c r="F246" t="s">
        <v>520</v>
      </c>
      <c r="G246">
        <v>714.41</v>
      </c>
      <c r="H246">
        <v>1</v>
      </c>
      <c r="I246">
        <v>107.51</v>
      </c>
      <c r="J246" t="s">
        <v>18</v>
      </c>
      <c r="K246" s="6">
        <f>tblSales[[#This Row],[Profit]]/tblSales[[#This Row],[Sales]]</f>
        <v>0.15048781512016909</v>
      </c>
      <c r="L246" t="str">
        <f>TEXT(tblSales[[#This Row],[Order Date]],"mmm")</f>
        <v>Dec</v>
      </c>
      <c r="M246">
        <f>YEAR(tblSales[[#This Row],[Order Date]])</f>
        <v>2022</v>
      </c>
    </row>
    <row r="247" spans="1:13">
      <c r="A247" t="s">
        <v>521</v>
      </c>
      <c r="B247" s="1">
        <v>44909</v>
      </c>
      <c r="C247" t="s">
        <v>14</v>
      </c>
      <c r="D247" t="s">
        <v>15</v>
      </c>
      <c r="E247" t="s">
        <v>79</v>
      </c>
      <c r="F247" t="s">
        <v>522</v>
      </c>
      <c r="G247">
        <v>1169.9000000000001</v>
      </c>
      <c r="H247">
        <v>9</v>
      </c>
      <c r="I247">
        <v>283.2</v>
      </c>
      <c r="J247" t="s">
        <v>18</v>
      </c>
      <c r="K247" s="6">
        <f>tblSales[[#This Row],[Profit]]/tblSales[[#This Row],[Sales]]</f>
        <v>0.24207197196341565</v>
      </c>
      <c r="L247" t="str">
        <f>TEXT(tblSales[[#This Row],[Order Date]],"mmm")</f>
        <v>Dec</v>
      </c>
      <c r="M247">
        <f>YEAR(tblSales[[#This Row],[Order Date]])</f>
        <v>2022</v>
      </c>
    </row>
    <row r="248" spans="1:13">
      <c r="A248" t="s">
        <v>523</v>
      </c>
      <c r="B248" s="1">
        <v>44910</v>
      </c>
      <c r="C248" t="s">
        <v>39</v>
      </c>
      <c r="D248" t="s">
        <v>21</v>
      </c>
      <c r="E248" t="s">
        <v>57</v>
      </c>
      <c r="F248" t="s">
        <v>524</v>
      </c>
      <c r="G248">
        <v>1480.41</v>
      </c>
      <c r="H248">
        <v>1</v>
      </c>
      <c r="I248">
        <v>114.91</v>
      </c>
      <c r="J248" t="s">
        <v>24</v>
      </c>
      <c r="K248" s="6">
        <f>tblSales[[#This Row],[Profit]]/tblSales[[#This Row],[Sales]]</f>
        <v>7.7620388946305408E-2</v>
      </c>
      <c r="L248" t="str">
        <f>TEXT(tblSales[[#This Row],[Order Date]],"mmm")</f>
        <v>Dec</v>
      </c>
      <c r="M248">
        <f>YEAR(tblSales[[#This Row],[Order Date]])</f>
        <v>2022</v>
      </c>
    </row>
    <row r="249" spans="1:13">
      <c r="A249" t="s">
        <v>525</v>
      </c>
      <c r="B249" s="1">
        <v>44911</v>
      </c>
      <c r="C249" t="s">
        <v>20</v>
      </c>
      <c r="D249" t="s">
        <v>26</v>
      </c>
      <c r="E249" t="s">
        <v>34</v>
      </c>
      <c r="F249" t="s">
        <v>132</v>
      </c>
      <c r="G249">
        <v>588.73</v>
      </c>
      <c r="H249">
        <v>4</v>
      </c>
      <c r="I249">
        <v>134.75</v>
      </c>
      <c r="J249" t="s">
        <v>29</v>
      </c>
      <c r="K249" s="6">
        <f>tblSales[[#This Row],[Profit]]/tblSales[[#This Row],[Sales]]</f>
        <v>0.2288825098092504</v>
      </c>
      <c r="L249" t="str">
        <f>TEXT(tblSales[[#This Row],[Order Date]],"mmm")</f>
        <v>Dec</v>
      </c>
      <c r="M249">
        <f>YEAR(tblSales[[#This Row],[Order Date]])</f>
        <v>2022</v>
      </c>
    </row>
    <row r="250" spans="1:13">
      <c r="A250" t="s">
        <v>526</v>
      </c>
      <c r="B250" s="1">
        <v>44912</v>
      </c>
      <c r="C250" t="s">
        <v>20</v>
      </c>
      <c r="D250" t="s">
        <v>73</v>
      </c>
      <c r="E250" t="s">
        <v>74</v>
      </c>
      <c r="F250" t="s">
        <v>527</v>
      </c>
      <c r="G250">
        <v>568.99</v>
      </c>
      <c r="H250">
        <v>5</v>
      </c>
      <c r="I250">
        <v>168.95</v>
      </c>
      <c r="J250" t="s">
        <v>29</v>
      </c>
      <c r="K250" s="6">
        <f>tblSales[[#This Row],[Profit]]/tblSales[[#This Row],[Sales]]</f>
        <v>0.29692964726972354</v>
      </c>
      <c r="L250" t="str">
        <f>TEXT(tblSales[[#This Row],[Order Date]],"mmm")</f>
        <v>Dec</v>
      </c>
      <c r="M250">
        <f>YEAR(tblSales[[#This Row],[Order Date]])</f>
        <v>2022</v>
      </c>
    </row>
    <row r="251" spans="1:13">
      <c r="A251" t="s">
        <v>528</v>
      </c>
      <c r="B251" s="1">
        <v>44913</v>
      </c>
      <c r="C251" t="s">
        <v>39</v>
      </c>
      <c r="D251" t="s">
        <v>15</v>
      </c>
      <c r="E251" t="s">
        <v>79</v>
      </c>
      <c r="F251" t="s">
        <v>384</v>
      </c>
      <c r="G251">
        <v>780.97</v>
      </c>
      <c r="H251">
        <v>8</v>
      </c>
      <c r="I251">
        <v>63.34</v>
      </c>
      <c r="J251" t="s">
        <v>18</v>
      </c>
      <c r="K251" s="6">
        <f>tblSales[[#This Row],[Profit]]/tblSales[[#This Row],[Sales]]</f>
        <v>8.1104267769568611E-2</v>
      </c>
      <c r="L251" t="str">
        <f>TEXT(tblSales[[#This Row],[Order Date]],"mmm")</f>
        <v>Dec</v>
      </c>
      <c r="M251">
        <f>YEAR(tblSales[[#This Row],[Order Date]])</f>
        <v>2022</v>
      </c>
    </row>
    <row r="252" spans="1:13">
      <c r="A252" t="s">
        <v>529</v>
      </c>
      <c r="B252" s="1">
        <v>44914</v>
      </c>
      <c r="C252" t="s">
        <v>39</v>
      </c>
      <c r="D252" t="s">
        <v>73</v>
      </c>
      <c r="E252" t="s">
        <v>164</v>
      </c>
      <c r="F252" t="s">
        <v>530</v>
      </c>
      <c r="G252">
        <v>1576.96</v>
      </c>
      <c r="H252">
        <v>6</v>
      </c>
      <c r="I252">
        <v>466.12</v>
      </c>
      <c r="J252" t="s">
        <v>18</v>
      </c>
      <c r="K252" s="6">
        <f>tblSales[[#This Row],[Profit]]/tblSales[[#This Row],[Sales]]</f>
        <v>0.29558137175324672</v>
      </c>
      <c r="L252" t="str">
        <f>TEXT(tblSales[[#This Row],[Order Date]],"mmm")</f>
        <v>Dec</v>
      </c>
      <c r="M252">
        <f>YEAR(tblSales[[#This Row],[Order Date]])</f>
        <v>2022</v>
      </c>
    </row>
    <row r="253" spans="1:13">
      <c r="A253" t="s">
        <v>531</v>
      </c>
      <c r="B253" s="1">
        <v>44915</v>
      </c>
      <c r="C253" t="s">
        <v>14</v>
      </c>
      <c r="D253" t="s">
        <v>15</v>
      </c>
      <c r="E253" t="s">
        <v>16</v>
      </c>
      <c r="F253" t="s">
        <v>532</v>
      </c>
      <c r="G253">
        <v>1209.58</v>
      </c>
      <c r="H253">
        <v>2</v>
      </c>
      <c r="I253">
        <v>110.99</v>
      </c>
      <c r="J253" t="s">
        <v>18</v>
      </c>
      <c r="K253" s="6">
        <f>tblSales[[#This Row],[Profit]]/tblSales[[#This Row],[Sales]]</f>
        <v>9.1759123001372372E-2</v>
      </c>
      <c r="L253" t="str">
        <f>TEXT(tblSales[[#This Row],[Order Date]],"mmm")</f>
        <v>Dec</v>
      </c>
      <c r="M253">
        <f>YEAR(tblSales[[#This Row],[Order Date]])</f>
        <v>2022</v>
      </c>
    </row>
    <row r="254" spans="1:13">
      <c r="A254" t="s">
        <v>533</v>
      </c>
      <c r="B254" s="1">
        <v>44916</v>
      </c>
      <c r="C254" t="s">
        <v>14</v>
      </c>
      <c r="D254" t="s">
        <v>26</v>
      </c>
      <c r="E254" t="s">
        <v>34</v>
      </c>
      <c r="F254" t="s">
        <v>534</v>
      </c>
      <c r="G254">
        <v>478.71</v>
      </c>
      <c r="H254">
        <v>4</v>
      </c>
      <c r="I254">
        <v>124.2</v>
      </c>
      <c r="J254" t="s">
        <v>18</v>
      </c>
      <c r="K254" s="6">
        <f>tblSales[[#This Row],[Profit]]/tblSales[[#This Row],[Sales]]</f>
        <v>0.25944726452340666</v>
      </c>
      <c r="L254" t="str">
        <f>TEXT(tblSales[[#This Row],[Order Date]],"mmm")</f>
        <v>Dec</v>
      </c>
      <c r="M254">
        <f>YEAR(tblSales[[#This Row],[Order Date]])</f>
        <v>2022</v>
      </c>
    </row>
    <row r="255" spans="1:13">
      <c r="A255" t="s">
        <v>535</v>
      </c>
      <c r="B255" s="1">
        <v>44917</v>
      </c>
      <c r="C255" t="s">
        <v>33</v>
      </c>
      <c r="D255" t="s">
        <v>21</v>
      </c>
      <c r="E255" t="s">
        <v>89</v>
      </c>
      <c r="F255" t="s">
        <v>536</v>
      </c>
      <c r="G255">
        <v>1664.67</v>
      </c>
      <c r="H255">
        <v>2</v>
      </c>
      <c r="I255">
        <v>243.08</v>
      </c>
      <c r="J255" t="s">
        <v>29</v>
      </c>
      <c r="K255" s="6">
        <f>tblSales[[#This Row],[Profit]]/tblSales[[#This Row],[Sales]]</f>
        <v>0.14602293547670109</v>
      </c>
      <c r="L255" t="str">
        <f>TEXT(tblSales[[#This Row],[Order Date]],"mmm")</f>
        <v>Dec</v>
      </c>
      <c r="M255">
        <f>YEAR(tblSales[[#This Row],[Order Date]])</f>
        <v>2022</v>
      </c>
    </row>
    <row r="256" spans="1:13">
      <c r="A256" t="s">
        <v>537</v>
      </c>
      <c r="B256" s="1">
        <v>44918</v>
      </c>
      <c r="C256" t="s">
        <v>14</v>
      </c>
      <c r="D256" t="s">
        <v>40</v>
      </c>
      <c r="E256" t="s">
        <v>92</v>
      </c>
      <c r="F256" t="s">
        <v>538</v>
      </c>
      <c r="G256">
        <v>1655.89</v>
      </c>
      <c r="H256">
        <v>5</v>
      </c>
      <c r="I256">
        <v>106.74</v>
      </c>
      <c r="J256" t="s">
        <v>24</v>
      </c>
      <c r="K256" s="6">
        <f>tblSales[[#This Row],[Profit]]/tblSales[[#This Row],[Sales]]</f>
        <v>6.4460803555791743E-2</v>
      </c>
      <c r="L256" t="str">
        <f>TEXT(tblSales[[#This Row],[Order Date]],"mmm")</f>
        <v>Dec</v>
      </c>
      <c r="M256">
        <f>YEAR(tblSales[[#This Row],[Order Date]])</f>
        <v>2022</v>
      </c>
    </row>
    <row r="257" spans="1:13">
      <c r="A257" t="s">
        <v>539</v>
      </c>
      <c r="B257" s="1">
        <v>44919</v>
      </c>
      <c r="C257" t="s">
        <v>33</v>
      </c>
      <c r="D257" t="s">
        <v>26</v>
      </c>
      <c r="E257" t="s">
        <v>49</v>
      </c>
      <c r="F257" t="s">
        <v>540</v>
      </c>
      <c r="G257">
        <v>1046.1600000000001</v>
      </c>
      <c r="H257">
        <v>4</v>
      </c>
      <c r="I257">
        <v>312.52</v>
      </c>
      <c r="J257" t="s">
        <v>18</v>
      </c>
      <c r="K257" s="6">
        <f>tblSales[[#This Row],[Profit]]/tblSales[[#This Row],[Sales]]</f>
        <v>0.2987305957023782</v>
      </c>
      <c r="L257" t="str">
        <f>TEXT(tblSales[[#This Row],[Order Date]],"mmm")</f>
        <v>Dec</v>
      </c>
      <c r="M257">
        <f>YEAR(tblSales[[#This Row],[Order Date]])</f>
        <v>2022</v>
      </c>
    </row>
    <row r="258" spans="1:13">
      <c r="A258" t="s">
        <v>541</v>
      </c>
      <c r="B258" s="1">
        <v>44920</v>
      </c>
      <c r="C258" t="s">
        <v>20</v>
      </c>
      <c r="D258" t="s">
        <v>40</v>
      </c>
      <c r="E258" t="s">
        <v>44</v>
      </c>
      <c r="F258" t="s">
        <v>542</v>
      </c>
      <c r="G258">
        <v>804.56</v>
      </c>
      <c r="H258">
        <v>2</v>
      </c>
      <c r="I258">
        <v>139.03</v>
      </c>
      <c r="J258" t="s">
        <v>29</v>
      </c>
      <c r="K258" s="6">
        <f>tblSales[[#This Row],[Profit]]/tblSales[[#This Row],[Sales]]</f>
        <v>0.1728025256040569</v>
      </c>
      <c r="L258" t="str">
        <f>TEXT(tblSales[[#This Row],[Order Date]],"mmm")</f>
        <v>Dec</v>
      </c>
      <c r="M258">
        <f>YEAR(tblSales[[#This Row],[Order Date]])</f>
        <v>2022</v>
      </c>
    </row>
    <row r="259" spans="1:13">
      <c r="A259" t="s">
        <v>543</v>
      </c>
      <c r="B259" s="1">
        <v>44921</v>
      </c>
      <c r="C259" t="s">
        <v>20</v>
      </c>
      <c r="D259" t="s">
        <v>40</v>
      </c>
      <c r="E259" t="s">
        <v>44</v>
      </c>
      <c r="F259" t="s">
        <v>544</v>
      </c>
      <c r="G259">
        <v>1635.35</v>
      </c>
      <c r="H259">
        <v>6</v>
      </c>
      <c r="I259">
        <v>336.45</v>
      </c>
      <c r="J259" t="s">
        <v>18</v>
      </c>
      <c r="K259" s="6">
        <f>tblSales[[#This Row],[Profit]]/tblSales[[#This Row],[Sales]]</f>
        <v>0.20573577521631456</v>
      </c>
      <c r="L259" t="str">
        <f>TEXT(tblSales[[#This Row],[Order Date]],"mmm")</f>
        <v>Dec</v>
      </c>
      <c r="M259">
        <f>YEAR(tblSales[[#This Row],[Order Date]])</f>
        <v>2022</v>
      </c>
    </row>
    <row r="260" spans="1:13">
      <c r="A260" t="s">
        <v>545</v>
      </c>
      <c r="B260" s="1">
        <v>44922</v>
      </c>
      <c r="C260" t="s">
        <v>20</v>
      </c>
      <c r="D260" t="s">
        <v>21</v>
      </c>
      <c r="E260" t="s">
        <v>57</v>
      </c>
      <c r="F260" t="s">
        <v>546</v>
      </c>
      <c r="G260">
        <v>1791.94</v>
      </c>
      <c r="H260">
        <v>5</v>
      </c>
      <c r="I260">
        <v>130.58000000000001</v>
      </c>
      <c r="J260" t="s">
        <v>18</v>
      </c>
      <c r="K260" s="6">
        <f>tblSales[[#This Row],[Profit]]/tblSales[[#This Row],[Sales]]</f>
        <v>7.2870743440070537E-2</v>
      </c>
      <c r="L260" t="str">
        <f>TEXT(tblSales[[#This Row],[Order Date]],"mmm")</f>
        <v>Dec</v>
      </c>
      <c r="M260">
        <f>YEAR(tblSales[[#This Row],[Order Date]])</f>
        <v>2022</v>
      </c>
    </row>
    <row r="261" spans="1:13">
      <c r="A261" t="s">
        <v>547</v>
      </c>
      <c r="B261" s="1">
        <v>44923</v>
      </c>
      <c r="C261" t="s">
        <v>33</v>
      </c>
      <c r="D261" t="s">
        <v>26</v>
      </c>
      <c r="E261" t="s">
        <v>34</v>
      </c>
      <c r="F261" t="s">
        <v>548</v>
      </c>
      <c r="G261">
        <v>545.89</v>
      </c>
      <c r="H261">
        <v>9</v>
      </c>
      <c r="I261">
        <v>33.35</v>
      </c>
      <c r="J261" t="s">
        <v>18</v>
      </c>
      <c r="K261" s="6">
        <f>tblSales[[#This Row],[Profit]]/tblSales[[#This Row],[Sales]]</f>
        <v>6.1092894172818706E-2</v>
      </c>
      <c r="L261" t="str">
        <f>TEXT(tblSales[[#This Row],[Order Date]],"mmm")</f>
        <v>Dec</v>
      </c>
      <c r="M261">
        <f>YEAR(tblSales[[#This Row],[Order Date]])</f>
        <v>2022</v>
      </c>
    </row>
    <row r="262" spans="1:13">
      <c r="A262" t="s">
        <v>549</v>
      </c>
      <c r="B262" s="1">
        <v>44924</v>
      </c>
      <c r="C262" t="s">
        <v>20</v>
      </c>
      <c r="D262" t="s">
        <v>26</v>
      </c>
      <c r="E262" t="s">
        <v>34</v>
      </c>
      <c r="F262" t="s">
        <v>550</v>
      </c>
      <c r="G262">
        <v>1622.84</v>
      </c>
      <c r="H262">
        <v>8</v>
      </c>
      <c r="I262">
        <v>459.1</v>
      </c>
      <c r="J262" t="s">
        <v>24</v>
      </c>
      <c r="K262" s="6">
        <f>tblSales[[#This Row],[Profit]]/tblSales[[#This Row],[Sales]]</f>
        <v>0.2828991151314979</v>
      </c>
      <c r="L262" t="str">
        <f>TEXT(tblSales[[#This Row],[Order Date]],"mmm")</f>
        <v>Dec</v>
      </c>
      <c r="M262">
        <f>YEAR(tblSales[[#This Row],[Order Date]])</f>
        <v>2022</v>
      </c>
    </row>
    <row r="263" spans="1:13">
      <c r="A263" t="s">
        <v>551</v>
      </c>
      <c r="B263" s="1">
        <v>44925</v>
      </c>
      <c r="C263" t="s">
        <v>33</v>
      </c>
      <c r="D263" t="s">
        <v>40</v>
      </c>
      <c r="E263" t="s">
        <v>92</v>
      </c>
      <c r="F263" t="s">
        <v>552</v>
      </c>
      <c r="G263">
        <v>577.15</v>
      </c>
      <c r="H263">
        <v>6</v>
      </c>
      <c r="I263">
        <v>66.34</v>
      </c>
      <c r="J263" t="s">
        <v>24</v>
      </c>
      <c r="K263" s="6">
        <f>tblSales[[#This Row],[Profit]]/tblSales[[#This Row],[Sales]]</f>
        <v>0.11494412197868839</v>
      </c>
      <c r="L263" t="str">
        <f>TEXT(tblSales[[#This Row],[Order Date]],"mmm")</f>
        <v>Dec</v>
      </c>
      <c r="M263">
        <f>YEAR(tblSales[[#This Row],[Order Date]])</f>
        <v>2022</v>
      </c>
    </row>
    <row r="264" spans="1:13">
      <c r="A264" t="s">
        <v>553</v>
      </c>
      <c r="B264" s="1">
        <v>44926</v>
      </c>
      <c r="C264" t="s">
        <v>33</v>
      </c>
      <c r="D264" t="s">
        <v>40</v>
      </c>
      <c r="E264" t="s">
        <v>92</v>
      </c>
      <c r="F264" t="s">
        <v>251</v>
      </c>
      <c r="G264">
        <v>1074.55</v>
      </c>
      <c r="H264">
        <v>5</v>
      </c>
      <c r="I264">
        <v>112.88</v>
      </c>
      <c r="J264" t="s">
        <v>24</v>
      </c>
      <c r="K264" s="6">
        <f>tblSales[[#This Row],[Profit]]/tblSales[[#This Row],[Sales]]</f>
        <v>0.10504862500581638</v>
      </c>
      <c r="L264" t="str">
        <f>TEXT(tblSales[[#This Row],[Order Date]],"mmm")</f>
        <v>Dec</v>
      </c>
      <c r="M264">
        <f>YEAR(tblSales[[#This Row],[Order Date]])</f>
        <v>2022</v>
      </c>
    </row>
    <row r="265" spans="1:13">
      <c r="A265" t="s">
        <v>554</v>
      </c>
      <c r="B265" s="1">
        <v>44927</v>
      </c>
      <c r="C265" t="s">
        <v>20</v>
      </c>
      <c r="D265" t="s">
        <v>21</v>
      </c>
      <c r="E265" t="s">
        <v>22</v>
      </c>
      <c r="F265" t="s">
        <v>555</v>
      </c>
      <c r="G265">
        <v>1000.39</v>
      </c>
      <c r="H265">
        <v>3</v>
      </c>
      <c r="I265">
        <v>256.27</v>
      </c>
      <c r="J265" t="s">
        <v>18</v>
      </c>
      <c r="K265" s="6">
        <f>tblSales[[#This Row],[Profit]]/tblSales[[#This Row],[Sales]]</f>
        <v>0.25617009366347121</v>
      </c>
      <c r="L265" t="str">
        <f>TEXT(tblSales[[#This Row],[Order Date]],"mmm")</f>
        <v>Jan</v>
      </c>
      <c r="M265">
        <f>YEAR(tblSales[[#This Row],[Order Date]])</f>
        <v>2023</v>
      </c>
    </row>
    <row r="266" spans="1:13">
      <c r="A266" t="s">
        <v>556</v>
      </c>
      <c r="B266" s="1">
        <v>44928</v>
      </c>
      <c r="C266" t="s">
        <v>33</v>
      </c>
      <c r="D266" t="s">
        <v>21</v>
      </c>
      <c r="E266" t="s">
        <v>89</v>
      </c>
      <c r="F266" t="s">
        <v>557</v>
      </c>
      <c r="G266">
        <v>1362.47</v>
      </c>
      <c r="H266">
        <v>1</v>
      </c>
      <c r="I266">
        <v>367.4</v>
      </c>
      <c r="J266" t="s">
        <v>29</v>
      </c>
      <c r="K266" s="6">
        <f>tblSales[[#This Row],[Profit]]/tblSales[[#This Row],[Sales]]</f>
        <v>0.2696573135555278</v>
      </c>
      <c r="L266" t="str">
        <f>TEXT(tblSales[[#This Row],[Order Date]],"mmm")</f>
        <v>Jan</v>
      </c>
      <c r="M266">
        <f>YEAR(tblSales[[#This Row],[Order Date]])</f>
        <v>2023</v>
      </c>
    </row>
    <row r="267" spans="1:13">
      <c r="A267" t="s">
        <v>558</v>
      </c>
      <c r="B267" s="1">
        <v>44929</v>
      </c>
      <c r="C267" t="s">
        <v>14</v>
      </c>
      <c r="D267" t="s">
        <v>21</v>
      </c>
      <c r="E267" t="s">
        <v>22</v>
      </c>
      <c r="F267" t="s">
        <v>559</v>
      </c>
      <c r="G267">
        <v>1323.73</v>
      </c>
      <c r="H267">
        <v>1</v>
      </c>
      <c r="I267">
        <v>118.26</v>
      </c>
      <c r="J267" t="s">
        <v>24</v>
      </c>
      <c r="K267" s="6">
        <f>tblSales[[#This Row],[Profit]]/tblSales[[#This Row],[Sales]]</f>
        <v>8.9338460260022817E-2</v>
      </c>
      <c r="L267" t="str">
        <f>TEXT(tblSales[[#This Row],[Order Date]],"mmm")</f>
        <v>Jan</v>
      </c>
      <c r="M267">
        <f>YEAR(tblSales[[#This Row],[Order Date]])</f>
        <v>2023</v>
      </c>
    </row>
    <row r="268" spans="1:13">
      <c r="A268" t="s">
        <v>560</v>
      </c>
      <c r="B268" s="1">
        <v>44930</v>
      </c>
      <c r="C268" t="s">
        <v>20</v>
      </c>
      <c r="D268" t="s">
        <v>73</v>
      </c>
      <c r="E268" t="s">
        <v>164</v>
      </c>
      <c r="F268" t="s">
        <v>561</v>
      </c>
      <c r="G268">
        <v>1677.29</v>
      </c>
      <c r="H268">
        <v>9</v>
      </c>
      <c r="I268">
        <v>473.87</v>
      </c>
      <c r="J268" t="s">
        <v>18</v>
      </c>
      <c r="K268" s="6">
        <f>tblSales[[#This Row],[Profit]]/tblSales[[#This Row],[Sales]]</f>
        <v>0.28252120980867951</v>
      </c>
      <c r="L268" t="str">
        <f>TEXT(tblSales[[#This Row],[Order Date]],"mmm")</f>
        <v>Jan</v>
      </c>
      <c r="M268">
        <f>YEAR(tblSales[[#This Row],[Order Date]])</f>
        <v>2023</v>
      </c>
    </row>
    <row r="269" spans="1:13">
      <c r="A269" t="s">
        <v>562</v>
      </c>
      <c r="B269" s="1">
        <v>44931</v>
      </c>
      <c r="C269" t="s">
        <v>14</v>
      </c>
      <c r="D269" t="s">
        <v>40</v>
      </c>
      <c r="E269" t="s">
        <v>41</v>
      </c>
      <c r="F269" t="s">
        <v>563</v>
      </c>
      <c r="G269">
        <v>1404</v>
      </c>
      <c r="H269">
        <v>7</v>
      </c>
      <c r="I269">
        <v>379.65</v>
      </c>
      <c r="J269" t="s">
        <v>29</v>
      </c>
      <c r="K269" s="6">
        <f>tblSales[[#This Row],[Profit]]/tblSales[[#This Row],[Sales]]</f>
        <v>0.27040598290598289</v>
      </c>
      <c r="L269" t="str">
        <f>TEXT(tblSales[[#This Row],[Order Date]],"mmm")</f>
        <v>Jan</v>
      </c>
      <c r="M269">
        <f>YEAR(tblSales[[#This Row],[Order Date]])</f>
        <v>2023</v>
      </c>
    </row>
    <row r="270" spans="1:13">
      <c r="A270" t="s">
        <v>564</v>
      </c>
      <c r="B270" s="1">
        <v>44932</v>
      </c>
      <c r="C270" t="s">
        <v>33</v>
      </c>
      <c r="D270" t="s">
        <v>40</v>
      </c>
      <c r="E270" t="s">
        <v>41</v>
      </c>
      <c r="F270" t="s">
        <v>565</v>
      </c>
      <c r="G270">
        <v>941.63</v>
      </c>
      <c r="H270">
        <v>7</v>
      </c>
      <c r="I270">
        <v>48.29</v>
      </c>
      <c r="J270" t="s">
        <v>29</v>
      </c>
      <c r="K270" s="6">
        <f>tblSales[[#This Row],[Profit]]/tblSales[[#This Row],[Sales]]</f>
        <v>5.128341280545437E-2</v>
      </c>
      <c r="L270" t="str">
        <f>TEXT(tblSales[[#This Row],[Order Date]],"mmm")</f>
        <v>Jan</v>
      </c>
      <c r="M270">
        <f>YEAR(tblSales[[#This Row],[Order Date]])</f>
        <v>2023</v>
      </c>
    </row>
    <row r="271" spans="1:13">
      <c r="A271" t="s">
        <v>566</v>
      </c>
      <c r="B271" s="1">
        <v>44933</v>
      </c>
      <c r="C271" t="s">
        <v>20</v>
      </c>
      <c r="D271" t="s">
        <v>26</v>
      </c>
      <c r="E271" t="s">
        <v>34</v>
      </c>
      <c r="F271" t="s">
        <v>567</v>
      </c>
      <c r="G271">
        <v>472.68</v>
      </c>
      <c r="H271">
        <v>7</v>
      </c>
      <c r="I271">
        <v>42.63</v>
      </c>
      <c r="J271" t="s">
        <v>18</v>
      </c>
      <c r="K271" s="6">
        <f>tblSales[[#This Row],[Profit]]/tblSales[[#This Row],[Sales]]</f>
        <v>9.0187864940340187E-2</v>
      </c>
      <c r="L271" t="str">
        <f>TEXT(tblSales[[#This Row],[Order Date]],"mmm")</f>
        <v>Jan</v>
      </c>
      <c r="M271">
        <f>YEAR(tblSales[[#This Row],[Order Date]])</f>
        <v>2023</v>
      </c>
    </row>
    <row r="272" spans="1:13">
      <c r="A272" t="s">
        <v>568</v>
      </c>
      <c r="B272" s="1">
        <v>44934</v>
      </c>
      <c r="C272" t="s">
        <v>39</v>
      </c>
      <c r="D272" t="s">
        <v>21</v>
      </c>
      <c r="E272" t="s">
        <v>57</v>
      </c>
      <c r="F272" t="s">
        <v>569</v>
      </c>
      <c r="G272">
        <v>1667.63</v>
      </c>
      <c r="H272">
        <v>7</v>
      </c>
      <c r="I272">
        <v>163.9</v>
      </c>
      <c r="J272" t="s">
        <v>29</v>
      </c>
      <c r="K272" s="6">
        <f>tblSales[[#This Row],[Profit]]/tblSales[[#This Row],[Sales]]</f>
        <v>9.8283192314842019E-2</v>
      </c>
      <c r="L272" t="str">
        <f>TEXT(tblSales[[#This Row],[Order Date]],"mmm")</f>
        <v>Jan</v>
      </c>
      <c r="M272">
        <f>YEAR(tblSales[[#This Row],[Order Date]])</f>
        <v>2023</v>
      </c>
    </row>
    <row r="273" spans="1:13">
      <c r="A273" t="s">
        <v>570</v>
      </c>
      <c r="B273" s="1">
        <v>44935</v>
      </c>
      <c r="C273" t="s">
        <v>20</v>
      </c>
      <c r="D273" t="s">
        <v>21</v>
      </c>
      <c r="E273" t="s">
        <v>57</v>
      </c>
      <c r="F273" t="s">
        <v>571</v>
      </c>
      <c r="G273">
        <v>666.34</v>
      </c>
      <c r="H273">
        <v>9</v>
      </c>
      <c r="I273">
        <v>138.57</v>
      </c>
      <c r="J273" t="s">
        <v>24</v>
      </c>
      <c r="K273" s="6">
        <f>tblSales[[#This Row],[Profit]]/tblSales[[#This Row],[Sales]]</f>
        <v>0.20795689888045141</v>
      </c>
      <c r="L273" t="str">
        <f>TEXT(tblSales[[#This Row],[Order Date]],"mmm")</f>
        <v>Jan</v>
      </c>
      <c r="M273">
        <f>YEAR(tblSales[[#This Row],[Order Date]])</f>
        <v>2023</v>
      </c>
    </row>
    <row r="274" spans="1:13">
      <c r="A274" t="s">
        <v>572</v>
      </c>
      <c r="B274" s="1">
        <v>44936</v>
      </c>
      <c r="C274" t="s">
        <v>14</v>
      </c>
      <c r="D274" t="s">
        <v>15</v>
      </c>
      <c r="E274" t="s">
        <v>60</v>
      </c>
      <c r="F274" t="s">
        <v>573</v>
      </c>
      <c r="G274">
        <v>1275.33</v>
      </c>
      <c r="H274">
        <v>8</v>
      </c>
      <c r="I274">
        <v>324.79000000000002</v>
      </c>
      <c r="J274" t="s">
        <v>24</v>
      </c>
      <c r="K274" s="6">
        <f>tblSales[[#This Row],[Profit]]/tblSales[[#This Row],[Sales]]</f>
        <v>0.25467133996691055</v>
      </c>
      <c r="L274" t="str">
        <f>TEXT(tblSales[[#This Row],[Order Date]],"mmm")</f>
        <v>Jan</v>
      </c>
      <c r="M274">
        <f>YEAR(tblSales[[#This Row],[Order Date]])</f>
        <v>2023</v>
      </c>
    </row>
    <row r="275" spans="1:13">
      <c r="A275" t="s">
        <v>574</v>
      </c>
      <c r="B275" s="1">
        <v>44937</v>
      </c>
      <c r="C275" t="s">
        <v>33</v>
      </c>
      <c r="D275" t="s">
        <v>73</v>
      </c>
      <c r="E275" t="s">
        <v>74</v>
      </c>
      <c r="F275" t="s">
        <v>575</v>
      </c>
      <c r="G275">
        <v>56.49</v>
      </c>
      <c r="H275">
        <v>9</v>
      </c>
      <c r="I275">
        <v>16.420000000000002</v>
      </c>
      <c r="J275" t="s">
        <v>24</v>
      </c>
      <c r="K275" s="6">
        <f>tblSales[[#This Row],[Profit]]/tblSales[[#This Row],[Sales]]</f>
        <v>0.29067091520623123</v>
      </c>
      <c r="L275" t="str">
        <f>TEXT(tblSales[[#This Row],[Order Date]],"mmm")</f>
        <v>Jan</v>
      </c>
      <c r="M275">
        <f>YEAR(tblSales[[#This Row],[Order Date]])</f>
        <v>2023</v>
      </c>
    </row>
    <row r="276" spans="1:13">
      <c r="A276" t="s">
        <v>576</v>
      </c>
      <c r="B276" s="1">
        <v>44938</v>
      </c>
      <c r="C276" t="s">
        <v>39</v>
      </c>
      <c r="D276" t="s">
        <v>21</v>
      </c>
      <c r="E276" t="s">
        <v>57</v>
      </c>
      <c r="F276" t="s">
        <v>577</v>
      </c>
      <c r="G276">
        <v>375.4</v>
      </c>
      <c r="H276">
        <v>5</v>
      </c>
      <c r="I276">
        <v>28.39</v>
      </c>
      <c r="J276" t="s">
        <v>29</v>
      </c>
      <c r="K276" s="6">
        <f>tblSales[[#This Row],[Profit]]/tblSales[[#This Row],[Sales]]</f>
        <v>7.5625998934469904E-2</v>
      </c>
      <c r="L276" t="str">
        <f>TEXT(tblSales[[#This Row],[Order Date]],"mmm")</f>
        <v>Jan</v>
      </c>
      <c r="M276">
        <f>YEAR(tblSales[[#This Row],[Order Date]])</f>
        <v>2023</v>
      </c>
    </row>
    <row r="277" spans="1:13">
      <c r="A277" t="s">
        <v>578</v>
      </c>
      <c r="B277" s="1">
        <v>44939</v>
      </c>
      <c r="C277" t="s">
        <v>20</v>
      </c>
      <c r="D277" t="s">
        <v>15</v>
      </c>
      <c r="E277" t="s">
        <v>60</v>
      </c>
      <c r="F277" t="s">
        <v>579</v>
      </c>
      <c r="G277">
        <v>1382.01</v>
      </c>
      <c r="H277">
        <v>2</v>
      </c>
      <c r="I277">
        <v>396.39</v>
      </c>
      <c r="J277" t="s">
        <v>24</v>
      </c>
      <c r="K277" s="6">
        <f>tblSales[[#This Row],[Profit]]/tblSales[[#This Row],[Sales]]</f>
        <v>0.28682136887576787</v>
      </c>
      <c r="L277" t="str">
        <f>TEXT(tblSales[[#This Row],[Order Date]],"mmm")</f>
        <v>Jan</v>
      </c>
      <c r="M277">
        <f>YEAR(tblSales[[#This Row],[Order Date]])</f>
        <v>2023</v>
      </c>
    </row>
    <row r="278" spans="1:13">
      <c r="A278" t="s">
        <v>580</v>
      </c>
      <c r="B278" s="1">
        <v>44940</v>
      </c>
      <c r="C278" t="s">
        <v>33</v>
      </c>
      <c r="D278" t="s">
        <v>40</v>
      </c>
      <c r="E278" t="s">
        <v>92</v>
      </c>
      <c r="F278" t="s">
        <v>581</v>
      </c>
      <c r="G278">
        <v>1546.55</v>
      </c>
      <c r="H278">
        <v>1</v>
      </c>
      <c r="I278">
        <v>302.42</v>
      </c>
      <c r="J278" t="s">
        <v>29</v>
      </c>
      <c r="K278" s="6">
        <f>tblSales[[#This Row],[Profit]]/tblSales[[#This Row],[Sales]]</f>
        <v>0.19554492256959038</v>
      </c>
      <c r="L278" t="str">
        <f>TEXT(tblSales[[#This Row],[Order Date]],"mmm")</f>
        <v>Jan</v>
      </c>
      <c r="M278">
        <f>YEAR(tblSales[[#This Row],[Order Date]])</f>
        <v>2023</v>
      </c>
    </row>
    <row r="279" spans="1:13">
      <c r="A279" t="s">
        <v>582</v>
      </c>
      <c r="B279" s="1">
        <v>44941</v>
      </c>
      <c r="C279" t="s">
        <v>33</v>
      </c>
      <c r="D279" t="s">
        <v>26</v>
      </c>
      <c r="E279" t="s">
        <v>49</v>
      </c>
      <c r="F279" t="s">
        <v>583</v>
      </c>
      <c r="G279">
        <v>1249.4100000000001</v>
      </c>
      <c r="H279">
        <v>2</v>
      </c>
      <c r="I279">
        <v>334.7</v>
      </c>
      <c r="J279" t="s">
        <v>18</v>
      </c>
      <c r="K279" s="6">
        <f>tblSales[[#This Row],[Profit]]/tblSales[[#This Row],[Sales]]</f>
        <v>0.26788644240081316</v>
      </c>
      <c r="L279" t="str">
        <f>TEXT(tblSales[[#This Row],[Order Date]],"mmm")</f>
        <v>Jan</v>
      </c>
      <c r="M279">
        <f>YEAR(tblSales[[#This Row],[Order Date]])</f>
        <v>2023</v>
      </c>
    </row>
    <row r="280" spans="1:13">
      <c r="A280" t="s">
        <v>584</v>
      </c>
      <c r="B280" s="1">
        <v>44942</v>
      </c>
      <c r="C280" t="s">
        <v>14</v>
      </c>
      <c r="D280" t="s">
        <v>26</v>
      </c>
      <c r="E280" t="s">
        <v>49</v>
      </c>
      <c r="F280" t="s">
        <v>585</v>
      </c>
      <c r="G280">
        <v>1938.38</v>
      </c>
      <c r="H280">
        <v>4</v>
      </c>
      <c r="I280">
        <v>410.73</v>
      </c>
      <c r="J280" t="s">
        <v>29</v>
      </c>
      <c r="K280" s="6">
        <f>tblSales[[#This Row],[Profit]]/tblSales[[#This Row],[Sales]]</f>
        <v>0.21189343678742042</v>
      </c>
      <c r="L280" t="str">
        <f>TEXT(tblSales[[#This Row],[Order Date]],"mmm")</f>
        <v>Jan</v>
      </c>
      <c r="M280">
        <f>YEAR(tblSales[[#This Row],[Order Date]])</f>
        <v>2023</v>
      </c>
    </row>
    <row r="281" spans="1:13">
      <c r="A281" t="s">
        <v>586</v>
      </c>
      <c r="B281" s="1">
        <v>44943</v>
      </c>
      <c r="C281" t="s">
        <v>20</v>
      </c>
      <c r="D281" t="s">
        <v>40</v>
      </c>
      <c r="E281" t="s">
        <v>41</v>
      </c>
      <c r="F281" t="s">
        <v>587</v>
      </c>
      <c r="G281">
        <v>149.94</v>
      </c>
      <c r="H281">
        <v>1</v>
      </c>
      <c r="I281">
        <v>19.63</v>
      </c>
      <c r="J281" t="s">
        <v>18</v>
      </c>
      <c r="K281" s="6">
        <f>tblSales[[#This Row],[Profit]]/tblSales[[#This Row],[Sales]]</f>
        <v>0.13091903428037882</v>
      </c>
      <c r="L281" t="str">
        <f>TEXT(tblSales[[#This Row],[Order Date]],"mmm")</f>
        <v>Jan</v>
      </c>
      <c r="M281">
        <f>YEAR(tblSales[[#This Row],[Order Date]])</f>
        <v>2023</v>
      </c>
    </row>
    <row r="282" spans="1:13">
      <c r="A282" t="s">
        <v>588</v>
      </c>
      <c r="B282" s="1">
        <v>44944</v>
      </c>
      <c r="C282" t="s">
        <v>14</v>
      </c>
      <c r="D282" t="s">
        <v>21</v>
      </c>
      <c r="E282" t="s">
        <v>22</v>
      </c>
      <c r="F282" t="s">
        <v>589</v>
      </c>
      <c r="G282">
        <v>1545.41</v>
      </c>
      <c r="H282">
        <v>7</v>
      </c>
      <c r="I282">
        <v>249.55</v>
      </c>
      <c r="J282" t="s">
        <v>29</v>
      </c>
      <c r="K282" s="6">
        <f>tblSales[[#This Row],[Profit]]/tblSales[[#This Row],[Sales]]</f>
        <v>0.16147818378294432</v>
      </c>
      <c r="L282" t="str">
        <f>TEXT(tblSales[[#This Row],[Order Date]],"mmm")</f>
        <v>Jan</v>
      </c>
      <c r="M282">
        <f>YEAR(tblSales[[#This Row],[Order Date]])</f>
        <v>2023</v>
      </c>
    </row>
    <row r="283" spans="1:13">
      <c r="A283" t="s">
        <v>590</v>
      </c>
      <c r="B283" s="1">
        <v>44945</v>
      </c>
      <c r="C283" t="s">
        <v>20</v>
      </c>
      <c r="D283" t="s">
        <v>21</v>
      </c>
      <c r="E283" t="s">
        <v>57</v>
      </c>
      <c r="F283" t="s">
        <v>591</v>
      </c>
      <c r="G283">
        <v>1889.72</v>
      </c>
      <c r="H283">
        <v>3</v>
      </c>
      <c r="I283">
        <v>307.73</v>
      </c>
      <c r="J283" t="s">
        <v>18</v>
      </c>
      <c r="K283" s="6">
        <f>tblSales[[#This Row],[Profit]]/tblSales[[#This Row],[Sales]]</f>
        <v>0.162844230891349</v>
      </c>
      <c r="L283" t="str">
        <f>TEXT(tblSales[[#This Row],[Order Date]],"mmm")</f>
        <v>Jan</v>
      </c>
      <c r="M283">
        <f>YEAR(tblSales[[#This Row],[Order Date]])</f>
        <v>2023</v>
      </c>
    </row>
    <row r="284" spans="1:13">
      <c r="A284" t="s">
        <v>592</v>
      </c>
      <c r="B284" s="1">
        <v>44946</v>
      </c>
      <c r="C284" t="s">
        <v>14</v>
      </c>
      <c r="D284" t="s">
        <v>73</v>
      </c>
      <c r="E284" t="s">
        <v>74</v>
      </c>
      <c r="F284" t="s">
        <v>593</v>
      </c>
      <c r="G284">
        <v>1593.72</v>
      </c>
      <c r="H284">
        <v>4</v>
      </c>
      <c r="I284">
        <v>414.35</v>
      </c>
      <c r="J284" t="s">
        <v>29</v>
      </c>
      <c r="K284" s="6">
        <f>tblSales[[#This Row],[Profit]]/tblSales[[#This Row],[Sales]]</f>
        <v>0.25998920763998695</v>
      </c>
      <c r="L284" t="str">
        <f>TEXT(tblSales[[#This Row],[Order Date]],"mmm")</f>
        <v>Jan</v>
      </c>
      <c r="M284">
        <f>YEAR(tblSales[[#This Row],[Order Date]])</f>
        <v>2023</v>
      </c>
    </row>
    <row r="285" spans="1:13">
      <c r="A285" t="s">
        <v>594</v>
      </c>
      <c r="B285" s="1">
        <v>44947</v>
      </c>
      <c r="C285" t="s">
        <v>20</v>
      </c>
      <c r="D285" t="s">
        <v>26</v>
      </c>
      <c r="E285" t="s">
        <v>34</v>
      </c>
      <c r="F285" t="s">
        <v>595</v>
      </c>
      <c r="G285">
        <v>1315.93</v>
      </c>
      <c r="H285">
        <v>3</v>
      </c>
      <c r="I285">
        <v>378.61</v>
      </c>
      <c r="J285" t="s">
        <v>18</v>
      </c>
      <c r="K285" s="6">
        <f>tblSales[[#This Row],[Profit]]/tblSales[[#This Row],[Sales]]</f>
        <v>0.28771287226524206</v>
      </c>
      <c r="L285" t="str">
        <f>TEXT(tblSales[[#This Row],[Order Date]],"mmm")</f>
        <v>Jan</v>
      </c>
      <c r="M285">
        <f>YEAR(tblSales[[#This Row],[Order Date]])</f>
        <v>2023</v>
      </c>
    </row>
    <row r="286" spans="1:13">
      <c r="A286" t="s">
        <v>596</v>
      </c>
      <c r="B286" s="1">
        <v>44948</v>
      </c>
      <c r="C286" t="s">
        <v>39</v>
      </c>
      <c r="D286" t="s">
        <v>73</v>
      </c>
      <c r="E286" t="s">
        <v>84</v>
      </c>
      <c r="F286" t="s">
        <v>597</v>
      </c>
      <c r="G286">
        <v>1467.91</v>
      </c>
      <c r="H286">
        <v>5</v>
      </c>
      <c r="I286">
        <v>307.72000000000003</v>
      </c>
      <c r="J286" t="s">
        <v>18</v>
      </c>
      <c r="K286" s="6">
        <f>tblSales[[#This Row],[Profit]]/tblSales[[#This Row],[Sales]]</f>
        <v>0.20963138067047707</v>
      </c>
      <c r="L286" t="str">
        <f>TEXT(tblSales[[#This Row],[Order Date]],"mmm")</f>
        <v>Jan</v>
      </c>
      <c r="M286">
        <f>YEAR(tblSales[[#This Row],[Order Date]])</f>
        <v>2023</v>
      </c>
    </row>
    <row r="287" spans="1:13">
      <c r="A287" t="s">
        <v>598</v>
      </c>
      <c r="B287" s="1">
        <v>44949</v>
      </c>
      <c r="C287" t="s">
        <v>20</v>
      </c>
      <c r="D287" t="s">
        <v>73</v>
      </c>
      <c r="E287" t="s">
        <v>84</v>
      </c>
      <c r="F287" t="s">
        <v>599</v>
      </c>
      <c r="G287">
        <v>895.75</v>
      </c>
      <c r="H287">
        <v>1</v>
      </c>
      <c r="I287">
        <v>116.61</v>
      </c>
      <c r="J287" t="s">
        <v>24</v>
      </c>
      <c r="K287" s="6">
        <f>tblSales[[#This Row],[Profit]]/tblSales[[#This Row],[Sales]]</f>
        <v>0.13018141222439297</v>
      </c>
      <c r="L287" t="str">
        <f>TEXT(tblSales[[#This Row],[Order Date]],"mmm")</f>
        <v>Jan</v>
      </c>
      <c r="M287">
        <f>YEAR(tblSales[[#This Row],[Order Date]])</f>
        <v>2023</v>
      </c>
    </row>
    <row r="288" spans="1:13">
      <c r="A288" t="s">
        <v>600</v>
      </c>
      <c r="B288" s="1">
        <v>44950</v>
      </c>
      <c r="C288" t="s">
        <v>39</v>
      </c>
      <c r="D288" t="s">
        <v>21</v>
      </c>
      <c r="E288" t="s">
        <v>22</v>
      </c>
      <c r="F288" t="s">
        <v>601</v>
      </c>
      <c r="G288">
        <v>441.95</v>
      </c>
      <c r="H288">
        <v>1</v>
      </c>
      <c r="I288">
        <v>94.1</v>
      </c>
      <c r="J288" t="s">
        <v>18</v>
      </c>
      <c r="K288" s="6">
        <f>tblSales[[#This Row],[Profit]]/tblSales[[#This Row],[Sales]]</f>
        <v>0.21292001357619639</v>
      </c>
      <c r="L288" t="str">
        <f>TEXT(tblSales[[#This Row],[Order Date]],"mmm")</f>
        <v>Jan</v>
      </c>
      <c r="M288">
        <f>YEAR(tblSales[[#This Row],[Order Date]])</f>
        <v>2023</v>
      </c>
    </row>
    <row r="289" spans="1:13">
      <c r="A289" t="s">
        <v>602</v>
      </c>
      <c r="B289" s="1">
        <v>44951</v>
      </c>
      <c r="C289" t="s">
        <v>33</v>
      </c>
      <c r="D289" t="s">
        <v>40</v>
      </c>
      <c r="E289" t="s">
        <v>44</v>
      </c>
      <c r="F289" t="s">
        <v>603</v>
      </c>
      <c r="G289">
        <v>1731.43</v>
      </c>
      <c r="H289">
        <v>8</v>
      </c>
      <c r="I289">
        <v>155.5</v>
      </c>
      <c r="J289" t="s">
        <v>29</v>
      </c>
      <c r="K289" s="6">
        <f>tblSales[[#This Row],[Profit]]/tblSales[[#This Row],[Sales]]</f>
        <v>8.981015692231277E-2</v>
      </c>
      <c r="L289" t="str">
        <f>TEXT(tblSales[[#This Row],[Order Date]],"mmm")</f>
        <v>Jan</v>
      </c>
      <c r="M289">
        <f>YEAR(tblSales[[#This Row],[Order Date]])</f>
        <v>2023</v>
      </c>
    </row>
    <row r="290" spans="1:13">
      <c r="A290" t="s">
        <v>604</v>
      </c>
      <c r="B290" s="1">
        <v>44952</v>
      </c>
      <c r="C290" t="s">
        <v>14</v>
      </c>
      <c r="D290" t="s">
        <v>15</v>
      </c>
      <c r="E290" t="s">
        <v>79</v>
      </c>
      <c r="F290" t="s">
        <v>605</v>
      </c>
      <c r="G290">
        <v>1557.66</v>
      </c>
      <c r="H290">
        <v>2</v>
      </c>
      <c r="I290">
        <v>374.24</v>
      </c>
      <c r="J290" t="s">
        <v>29</v>
      </c>
      <c r="K290" s="6">
        <f>tblSales[[#This Row],[Profit]]/tblSales[[#This Row],[Sales]]</f>
        <v>0.24025782263138296</v>
      </c>
      <c r="L290" t="str">
        <f>TEXT(tblSales[[#This Row],[Order Date]],"mmm")</f>
        <v>Jan</v>
      </c>
      <c r="M290">
        <f>YEAR(tblSales[[#This Row],[Order Date]])</f>
        <v>2023</v>
      </c>
    </row>
    <row r="291" spans="1:13">
      <c r="A291" t="s">
        <v>606</v>
      </c>
      <c r="B291" s="1">
        <v>44953</v>
      </c>
      <c r="C291" t="s">
        <v>20</v>
      </c>
      <c r="D291" t="s">
        <v>21</v>
      </c>
      <c r="E291" t="s">
        <v>22</v>
      </c>
      <c r="F291" t="s">
        <v>607</v>
      </c>
      <c r="G291">
        <v>279.86</v>
      </c>
      <c r="H291">
        <v>5</v>
      </c>
      <c r="I291">
        <v>77.790000000000006</v>
      </c>
      <c r="J291" t="s">
        <v>18</v>
      </c>
      <c r="K291" s="6">
        <f>tblSales[[#This Row],[Profit]]/tblSales[[#This Row],[Sales]]</f>
        <v>0.27796040877581651</v>
      </c>
      <c r="L291" t="str">
        <f>TEXT(tblSales[[#This Row],[Order Date]],"mmm")</f>
        <v>Jan</v>
      </c>
      <c r="M291">
        <f>YEAR(tblSales[[#This Row],[Order Date]])</f>
        <v>2023</v>
      </c>
    </row>
    <row r="292" spans="1:13">
      <c r="A292" t="s">
        <v>608</v>
      </c>
      <c r="B292" s="1">
        <v>44954</v>
      </c>
      <c r="C292" t="s">
        <v>20</v>
      </c>
      <c r="D292" t="s">
        <v>40</v>
      </c>
      <c r="E292" t="s">
        <v>92</v>
      </c>
      <c r="F292" t="s">
        <v>609</v>
      </c>
      <c r="G292">
        <v>387.21</v>
      </c>
      <c r="H292">
        <v>9</v>
      </c>
      <c r="I292">
        <v>19.48</v>
      </c>
      <c r="J292" t="s">
        <v>29</v>
      </c>
      <c r="K292" s="6">
        <f>tblSales[[#This Row],[Profit]]/tblSales[[#This Row],[Sales]]</f>
        <v>5.0308618062550041E-2</v>
      </c>
      <c r="L292" t="str">
        <f>TEXT(tblSales[[#This Row],[Order Date]],"mmm")</f>
        <v>Jan</v>
      </c>
      <c r="M292">
        <f>YEAR(tblSales[[#This Row],[Order Date]])</f>
        <v>2023</v>
      </c>
    </row>
    <row r="293" spans="1:13">
      <c r="A293" t="s">
        <v>610</v>
      </c>
      <c r="B293" s="1">
        <v>44955</v>
      </c>
      <c r="C293" t="s">
        <v>33</v>
      </c>
      <c r="D293" t="s">
        <v>21</v>
      </c>
      <c r="E293" t="s">
        <v>89</v>
      </c>
      <c r="F293" t="s">
        <v>611</v>
      </c>
      <c r="G293">
        <v>1222.47</v>
      </c>
      <c r="H293">
        <v>4</v>
      </c>
      <c r="I293">
        <v>192.63</v>
      </c>
      <c r="J293" t="s">
        <v>18</v>
      </c>
      <c r="K293" s="6">
        <f>tblSales[[#This Row],[Profit]]/tblSales[[#This Row],[Sales]]</f>
        <v>0.15757441900414734</v>
      </c>
      <c r="L293" t="str">
        <f>TEXT(tblSales[[#This Row],[Order Date]],"mmm")</f>
        <v>Jan</v>
      </c>
      <c r="M293">
        <f>YEAR(tblSales[[#This Row],[Order Date]])</f>
        <v>2023</v>
      </c>
    </row>
    <row r="294" spans="1:13">
      <c r="A294" t="s">
        <v>612</v>
      </c>
      <c r="B294" s="1">
        <v>44956</v>
      </c>
      <c r="C294" t="s">
        <v>20</v>
      </c>
      <c r="D294" t="s">
        <v>21</v>
      </c>
      <c r="E294" t="s">
        <v>22</v>
      </c>
      <c r="F294" t="s">
        <v>613</v>
      </c>
      <c r="G294">
        <v>993.36</v>
      </c>
      <c r="H294">
        <v>6</v>
      </c>
      <c r="I294">
        <v>194.19</v>
      </c>
      <c r="J294" t="s">
        <v>29</v>
      </c>
      <c r="K294" s="6">
        <f>tblSales[[#This Row],[Profit]]/tblSales[[#This Row],[Sales]]</f>
        <v>0.19548804058951438</v>
      </c>
      <c r="L294" t="str">
        <f>TEXT(tblSales[[#This Row],[Order Date]],"mmm")</f>
        <v>Jan</v>
      </c>
      <c r="M294">
        <f>YEAR(tblSales[[#This Row],[Order Date]])</f>
        <v>2023</v>
      </c>
    </row>
    <row r="295" spans="1:13">
      <c r="A295" t="s">
        <v>614</v>
      </c>
      <c r="B295" s="1">
        <v>44957</v>
      </c>
      <c r="C295" t="s">
        <v>39</v>
      </c>
      <c r="D295" t="s">
        <v>15</v>
      </c>
      <c r="E295" t="s">
        <v>16</v>
      </c>
      <c r="F295" t="s">
        <v>615</v>
      </c>
      <c r="G295">
        <v>1599.17</v>
      </c>
      <c r="H295">
        <v>1</v>
      </c>
      <c r="I295">
        <v>84.6</v>
      </c>
      <c r="J295" t="s">
        <v>18</v>
      </c>
      <c r="K295" s="6">
        <f>tblSales[[#This Row],[Profit]]/tblSales[[#This Row],[Sales]]</f>
        <v>5.2902443142380101E-2</v>
      </c>
      <c r="L295" t="str">
        <f>TEXT(tblSales[[#This Row],[Order Date]],"mmm")</f>
        <v>Jan</v>
      </c>
      <c r="M295">
        <f>YEAR(tblSales[[#This Row],[Order Date]])</f>
        <v>2023</v>
      </c>
    </row>
    <row r="296" spans="1:13">
      <c r="A296" t="s">
        <v>616</v>
      </c>
      <c r="B296" s="1">
        <v>44958</v>
      </c>
      <c r="C296" t="s">
        <v>39</v>
      </c>
      <c r="D296" t="s">
        <v>21</v>
      </c>
      <c r="E296" t="s">
        <v>57</v>
      </c>
      <c r="F296" t="s">
        <v>617</v>
      </c>
      <c r="G296">
        <v>803.18</v>
      </c>
      <c r="H296">
        <v>6</v>
      </c>
      <c r="I296">
        <v>98.72</v>
      </c>
      <c r="J296" t="s">
        <v>29</v>
      </c>
      <c r="K296" s="6">
        <f>tblSales[[#This Row],[Profit]]/tblSales[[#This Row],[Sales]]</f>
        <v>0.12291142707736748</v>
      </c>
      <c r="L296" t="str">
        <f>TEXT(tblSales[[#This Row],[Order Date]],"mmm")</f>
        <v>Feb</v>
      </c>
      <c r="M296">
        <f>YEAR(tblSales[[#This Row],[Order Date]])</f>
        <v>2023</v>
      </c>
    </row>
    <row r="297" spans="1:13">
      <c r="A297" t="s">
        <v>618</v>
      </c>
      <c r="B297" s="1">
        <v>44959</v>
      </c>
      <c r="C297" t="s">
        <v>39</v>
      </c>
      <c r="D297" t="s">
        <v>73</v>
      </c>
      <c r="E297" t="s">
        <v>74</v>
      </c>
      <c r="F297" t="s">
        <v>619</v>
      </c>
      <c r="G297">
        <v>1906.24</v>
      </c>
      <c r="H297">
        <v>9</v>
      </c>
      <c r="I297">
        <v>114.19</v>
      </c>
      <c r="J297" t="s">
        <v>24</v>
      </c>
      <c r="K297" s="6">
        <f>tblSales[[#This Row],[Profit]]/tblSales[[#This Row],[Sales]]</f>
        <v>5.9903265066308546E-2</v>
      </c>
      <c r="L297" t="str">
        <f>TEXT(tblSales[[#This Row],[Order Date]],"mmm")</f>
        <v>Feb</v>
      </c>
      <c r="M297">
        <f>YEAR(tblSales[[#This Row],[Order Date]])</f>
        <v>2023</v>
      </c>
    </row>
    <row r="298" spans="1:13">
      <c r="A298" t="s">
        <v>620</v>
      </c>
      <c r="B298" s="1">
        <v>44960</v>
      </c>
      <c r="C298" t="s">
        <v>33</v>
      </c>
      <c r="D298" t="s">
        <v>26</v>
      </c>
      <c r="E298" t="s">
        <v>27</v>
      </c>
      <c r="F298" t="s">
        <v>621</v>
      </c>
      <c r="G298">
        <v>227.76</v>
      </c>
      <c r="H298">
        <v>1</v>
      </c>
      <c r="I298">
        <v>17.239999999999998</v>
      </c>
      <c r="J298" t="s">
        <v>24</v>
      </c>
      <c r="K298" s="6">
        <f>tblSales[[#This Row],[Profit]]/tblSales[[#This Row],[Sales]]</f>
        <v>7.5693712680014041E-2</v>
      </c>
      <c r="L298" t="str">
        <f>TEXT(tblSales[[#This Row],[Order Date]],"mmm")</f>
        <v>Feb</v>
      </c>
      <c r="M298">
        <f>YEAR(tblSales[[#This Row],[Order Date]])</f>
        <v>2023</v>
      </c>
    </row>
    <row r="299" spans="1:13">
      <c r="A299" t="s">
        <v>622</v>
      </c>
      <c r="B299" s="1">
        <v>44961</v>
      </c>
      <c r="C299" t="s">
        <v>39</v>
      </c>
      <c r="D299" t="s">
        <v>15</v>
      </c>
      <c r="E299" t="s">
        <v>52</v>
      </c>
      <c r="F299" t="s">
        <v>623</v>
      </c>
      <c r="G299">
        <v>56.37</v>
      </c>
      <c r="H299">
        <v>6</v>
      </c>
      <c r="I299">
        <v>11.53</v>
      </c>
      <c r="J299" t="s">
        <v>29</v>
      </c>
      <c r="K299" s="6">
        <f>tblSales[[#This Row],[Profit]]/tblSales[[#This Row],[Sales]]</f>
        <v>0.20454142274259357</v>
      </c>
      <c r="L299" t="str">
        <f>TEXT(tblSales[[#This Row],[Order Date]],"mmm")</f>
        <v>Feb</v>
      </c>
      <c r="M299">
        <f>YEAR(tblSales[[#This Row],[Order Date]])</f>
        <v>2023</v>
      </c>
    </row>
    <row r="300" spans="1:13">
      <c r="A300" t="s">
        <v>624</v>
      </c>
      <c r="B300" s="1">
        <v>44962</v>
      </c>
      <c r="C300" t="s">
        <v>39</v>
      </c>
      <c r="D300" t="s">
        <v>40</v>
      </c>
      <c r="E300" t="s">
        <v>92</v>
      </c>
      <c r="F300" t="s">
        <v>625</v>
      </c>
      <c r="G300">
        <v>1128.0999999999999</v>
      </c>
      <c r="H300">
        <v>2</v>
      </c>
      <c r="I300">
        <v>148.47999999999999</v>
      </c>
      <c r="J300" t="s">
        <v>24</v>
      </c>
      <c r="K300" s="6">
        <f>tblSales[[#This Row],[Profit]]/tblSales[[#This Row],[Sales]]</f>
        <v>0.13161953727506426</v>
      </c>
      <c r="L300" t="str">
        <f>TEXT(tblSales[[#This Row],[Order Date]],"mmm")</f>
        <v>Feb</v>
      </c>
      <c r="M300">
        <f>YEAR(tblSales[[#This Row],[Order Date]])</f>
        <v>2023</v>
      </c>
    </row>
    <row r="301" spans="1:13">
      <c r="A301" t="s">
        <v>626</v>
      </c>
      <c r="B301" s="1">
        <v>44963</v>
      </c>
      <c r="C301" t="s">
        <v>20</v>
      </c>
      <c r="D301" t="s">
        <v>40</v>
      </c>
      <c r="E301" t="s">
        <v>41</v>
      </c>
      <c r="F301" t="s">
        <v>627</v>
      </c>
      <c r="G301">
        <v>1767.42</v>
      </c>
      <c r="H301">
        <v>1</v>
      </c>
      <c r="I301">
        <v>452.69</v>
      </c>
      <c r="J301" t="s">
        <v>29</v>
      </c>
      <c r="K301" s="6">
        <f>tblSales[[#This Row],[Profit]]/tblSales[[#This Row],[Sales]]</f>
        <v>0.25613040477079585</v>
      </c>
      <c r="L301" t="str">
        <f>TEXT(tblSales[[#This Row],[Order Date]],"mmm")</f>
        <v>Feb</v>
      </c>
      <c r="M301">
        <f>YEAR(tblSales[[#This Row],[Order Date]])</f>
        <v>2023</v>
      </c>
    </row>
    <row r="302" spans="1:13">
      <c r="A302" t="s">
        <v>628</v>
      </c>
      <c r="B302" s="1">
        <v>44964</v>
      </c>
      <c r="C302" t="s">
        <v>14</v>
      </c>
      <c r="D302" t="s">
        <v>40</v>
      </c>
      <c r="E302" t="s">
        <v>41</v>
      </c>
      <c r="F302" t="s">
        <v>629</v>
      </c>
      <c r="G302">
        <v>657.75</v>
      </c>
      <c r="H302">
        <v>6</v>
      </c>
      <c r="I302">
        <v>126.21</v>
      </c>
      <c r="J302" t="s">
        <v>18</v>
      </c>
      <c r="K302" s="6">
        <f>tblSales[[#This Row],[Profit]]/tblSales[[#This Row],[Sales]]</f>
        <v>0.19188141391106042</v>
      </c>
      <c r="L302" t="str">
        <f>TEXT(tblSales[[#This Row],[Order Date]],"mmm")</f>
        <v>Feb</v>
      </c>
      <c r="M302">
        <f>YEAR(tblSales[[#This Row],[Order Date]])</f>
        <v>2023</v>
      </c>
    </row>
    <row r="303" spans="1:13">
      <c r="A303" t="s">
        <v>630</v>
      </c>
      <c r="B303" s="1">
        <v>44965</v>
      </c>
      <c r="C303" t="s">
        <v>20</v>
      </c>
      <c r="D303" t="s">
        <v>21</v>
      </c>
      <c r="E303" t="s">
        <v>89</v>
      </c>
      <c r="F303" t="s">
        <v>631</v>
      </c>
      <c r="G303">
        <v>1605.16</v>
      </c>
      <c r="H303">
        <v>2</v>
      </c>
      <c r="I303">
        <v>96.78</v>
      </c>
      <c r="J303" t="s">
        <v>24</v>
      </c>
      <c r="K303" s="6">
        <f>tblSales[[#This Row],[Profit]]/tblSales[[#This Row],[Sales]]</f>
        <v>6.0293054897954099E-2</v>
      </c>
      <c r="L303" t="str">
        <f>TEXT(tblSales[[#This Row],[Order Date]],"mmm")</f>
        <v>Feb</v>
      </c>
      <c r="M303">
        <f>YEAR(tblSales[[#This Row],[Order Date]])</f>
        <v>2023</v>
      </c>
    </row>
    <row r="304" spans="1:13">
      <c r="A304" t="s">
        <v>632</v>
      </c>
      <c r="B304" s="1">
        <v>44966</v>
      </c>
      <c r="C304" t="s">
        <v>39</v>
      </c>
      <c r="D304" t="s">
        <v>73</v>
      </c>
      <c r="E304" t="s">
        <v>74</v>
      </c>
      <c r="F304" t="s">
        <v>633</v>
      </c>
      <c r="G304">
        <v>1904.07</v>
      </c>
      <c r="H304">
        <v>3</v>
      </c>
      <c r="I304">
        <v>521.82000000000005</v>
      </c>
      <c r="J304" t="s">
        <v>29</v>
      </c>
      <c r="K304" s="6">
        <f>tblSales[[#This Row],[Profit]]/tblSales[[#This Row],[Sales]]</f>
        <v>0.27405505049709311</v>
      </c>
      <c r="L304" t="str">
        <f>TEXT(tblSales[[#This Row],[Order Date]],"mmm")</f>
        <v>Feb</v>
      </c>
      <c r="M304">
        <f>YEAR(tblSales[[#This Row],[Order Date]])</f>
        <v>2023</v>
      </c>
    </row>
    <row r="305" spans="1:13">
      <c r="A305" t="s">
        <v>634</v>
      </c>
      <c r="B305" s="1">
        <v>44967</v>
      </c>
      <c r="C305" t="s">
        <v>20</v>
      </c>
      <c r="D305" t="s">
        <v>21</v>
      </c>
      <c r="E305" t="s">
        <v>57</v>
      </c>
      <c r="F305" t="s">
        <v>635</v>
      </c>
      <c r="G305">
        <v>1240.8800000000001</v>
      </c>
      <c r="H305">
        <v>9</v>
      </c>
      <c r="I305">
        <v>282.01</v>
      </c>
      <c r="J305" t="s">
        <v>29</v>
      </c>
      <c r="K305" s="6">
        <f>tblSales[[#This Row],[Profit]]/tblSales[[#This Row],[Sales]]</f>
        <v>0.22726613371155951</v>
      </c>
      <c r="L305" t="str">
        <f>TEXT(tblSales[[#This Row],[Order Date]],"mmm")</f>
        <v>Feb</v>
      </c>
      <c r="M305">
        <f>YEAR(tblSales[[#This Row],[Order Date]])</f>
        <v>2023</v>
      </c>
    </row>
    <row r="306" spans="1:13">
      <c r="A306" t="s">
        <v>636</v>
      </c>
      <c r="B306" s="1">
        <v>44968</v>
      </c>
      <c r="C306" t="s">
        <v>20</v>
      </c>
      <c r="D306" t="s">
        <v>15</v>
      </c>
      <c r="E306" t="s">
        <v>79</v>
      </c>
      <c r="F306" t="s">
        <v>637</v>
      </c>
      <c r="G306">
        <v>1433.89</v>
      </c>
      <c r="H306">
        <v>4</v>
      </c>
      <c r="I306">
        <v>193.38</v>
      </c>
      <c r="J306" t="s">
        <v>18</v>
      </c>
      <c r="K306" s="6">
        <f>tblSales[[#This Row],[Profit]]/tblSales[[#This Row],[Sales]]</f>
        <v>0.13486390169399326</v>
      </c>
      <c r="L306" t="str">
        <f>TEXT(tblSales[[#This Row],[Order Date]],"mmm")</f>
        <v>Feb</v>
      </c>
      <c r="M306">
        <f>YEAR(tblSales[[#This Row],[Order Date]])</f>
        <v>2023</v>
      </c>
    </row>
    <row r="307" spans="1:13">
      <c r="A307" t="s">
        <v>638</v>
      </c>
      <c r="B307" s="1">
        <v>44969</v>
      </c>
      <c r="C307" t="s">
        <v>33</v>
      </c>
      <c r="D307" t="s">
        <v>15</v>
      </c>
      <c r="E307" t="s">
        <v>16</v>
      </c>
      <c r="F307" t="s">
        <v>639</v>
      </c>
      <c r="G307">
        <v>178.63</v>
      </c>
      <c r="H307">
        <v>4</v>
      </c>
      <c r="I307">
        <v>33.630000000000003</v>
      </c>
      <c r="J307" t="s">
        <v>18</v>
      </c>
      <c r="K307" s="6">
        <f>tblSales[[#This Row],[Profit]]/tblSales[[#This Row],[Sales]]</f>
        <v>0.18826624867043612</v>
      </c>
      <c r="L307" t="str">
        <f>TEXT(tblSales[[#This Row],[Order Date]],"mmm")</f>
        <v>Feb</v>
      </c>
      <c r="M307">
        <f>YEAR(tblSales[[#This Row],[Order Date]])</f>
        <v>2023</v>
      </c>
    </row>
    <row r="308" spans="1:13">
      <c r="A308" t="s">
        <v>640</v>
      </c>
      <c r="B308" s="1">
        <v>44970</v>
      </c>
      <c r="C308" t="s">
        <v>20</v>
      </c>
      <c r="D308" t="s">
        <v>15</v>
      </c>
      <c r="E308" t="s">
        <v>52</v>
      </c>
      <c r="F308" t="s">
        <v>187</v>
      </c>
      <c r="G308">
        <v>1571.99</v>
      </c>
      <c r="H308">
        <v>3</v>
      </c>
      <c r="I308">
        <v>94.62</v>
      </c>
      <c r="J308" t="s">
        <v>18</v>
      </c>
      <c r="K308" s="6">
        <f>tblSales[[#This Row],[Profit]]/tblSales[[#This Row],[Sales]]</f>
        <v>6.0191222590474498E-2</v>
      </c>
      <c r="L308" t="str">
        <f>TEXT(tblSales[[#This Row],[Order Date]],"mmm")</f>
        <v>Feb</v>
      </c>
      <c r="M308">
        <f>YEAR(tblSales[[#This Row],[Order Date]])</f>
        <v>2023</v>
      </c>
    </row>
    <row r="309" spans="1:13">
      <c r="A309" t="s">
        <v>641</v>
      </c>
      <c r="B309" s="1">
        <v>44971</v>
      </c>
      <c r="C309" t="s">
        <v>20</v>
      </c>
      <c r="D309" t="s">
        <v>15</v>
      </c>
      <c r="E309" t="s">
        <v>52</v>
      </c>
      <c r="F309" t="s">
        <v>642</v>
      </c>
      <c r="G309">
        <v>888.44</v>
      </c>
      <c r="H309">
        <v>2</v>
      </c>
      <c r="I309">
        <v>57.83</v>
      </c>
      <c r="J309" t="s">
        <v>29</v>
      </c>
      <c r="K309" s="6">
        <f>tblSales[[#This Row],[Profit]]/tblSales[[#This Row],[Sales]]</f>
        <v>6.5091621268740713E-2</v>
      </c>
      <c r="L309" t="str">
        <f>TEXT(tblSales[[#This Row],[Order Date]],"mmm")</f>
        <v>Feb</v>
      </c>
      <c r="M309">
        <f>YEAR(tblSales[[#This Row],[Order Date]])</f>
        <v>2023</v>
      </c>
    </row>
    <row r="310" spans="1:13">
      <c r="A310" t="s">
        <v>643</v>
      </c>
      <c r="B310" s="1">
        <v>44972</v>
      </c>
      <c r="C310" t="s">
        <v>39</v>
      </c>
      <c r="D310" t="s">
        <v>21</v>
      </c>
      <c r="E310" t="s">
        <v>57</v>
      </c>
      <c r="F310" t="s">
        <v>644</v>
      </c>
      <c r="G310">
        <v>335.9</v>
      </c>
      <c r="H310">
        <v>3</v>
      </c>
      <c r="I310">
        <v>35.200000000000003</v>
      </c>
      <c r="J310" t="s">
        <v>18</v>
      </c>
      <c r="K310" s="6">
        <f>tblSales[[#This Row],[Profit]]/tblSales[[#This Row],[Sales]]</f>
        <v>0.1047930931824948</v>
      </c>
      <c r="L310" t="str">
        <f>TEXT(tblSales[[#This Row],[Order Date]],"mmm")</f>
        <v>Feb</v>
      </c>
      <c r="M310">
        <f>YEAR(tblSales[[#This Row],[Order Date]])</f>
        <v>2023</v>
      </c>
    </row>
    <row r="311" spans="1:13">
      <c r="A311" t="s">
        <v>645</v>
      </c>
      <c r="B311" s="1">
        <v>44973</v>
      </c>
      <c r="C311" t="s">
        <v>20</v>
      </c>
      <c r="D311" t="s">
        <v>40</v>
      </c>
      <c r="E311" t="s">
        <v>92</v>
      </c>
      <c r="F311" t="s">
        <v>646</v>
      </c>
      <c r="G311">
        <v>1493.67</v>
      </c>
      <c r="H311">
        <v>7</v>
      </c>
      <c r="I311">
        <v>236.62</v>
      </c>
      <c r="J311" t="s">
        <v>29</v>
      </c>
      <c r="K311" s="6">
        <f>tblSales[[#This Row],[Profit]]/tblSales[[#This Row],[Sales]]</f>
        <v>0.15841517872086872</v>
      </c>
      <c r="L311" t="str">
        <f>TEXT(tblSales[[#This Row],[Order Date]],"mmm")</f>
        <v>Feb</v>
      </c>
      <c r="M311">
        <f>YEAR(tblSales[[#This Row],[Order Date]])</f>
        <v>2023</v>
      </c>
    </row>
    <row r="312" spans="1:13">
      <c r="A312" t="s">
        <v>647</v>
      </c>
      <c r="B312" s="1">
        <v>44974</v>
      </c>
      <c r="C312" t="s">
        <v>39</v>
      </c>
      <c r="D312" t="s">
        <v>40</v>
      </c>
      <c r="E312" t="s">
        <v>44</v>
      </c>
      <c r="F312" t="s">
        <v>648</v>
      </c>
      <c r="G312">
        <v>340.11</v>
      </c>
      <c r="H312">
        <v>6</v>
      </c>
      <c r="I312">
        <v>78.16</v>
      </c>
      <c r="J312" t="s">
        <v>24</v>
      </c>
      <c r="K312" s="6">
        <f>tblSales[[#This Row],[Profit]]/tblSales[[#This Row],[Sales]]</f>
        <v>0.22980800329305223</v>
      </c>
      <c r="L312" t="str">
        <f>TEXT(tblSales[[#This Row],[Order Date]],"mmm")</f>
        <v>Feb</v>
      </c>
      <c r="M312">
        <f>YEAR(tblSales[[#This Row],[Order Date]])</f>
        <v>2023</v>
      </c>
    </row>
    <row r="313" spans="1:13">
      <c r="A313" t="s">
        <v>649</v>
      </c>
      <c r="B313" s="1">
        <v>44975</v>
      </c>
      <c r="C313" t="s">
        <v>20</v>
      </c>
      <c r="D313" t="s">
        <v>15</v>
      </c>
      <c r="E313" t="s">
        <v>52</v>
      </c>
      <c r="F313" t="s">
        <v>650</v>
      </c>
      <c r="G313">
        <v>1992.74</v>
      </c>
      <c r="H313">
        <v>9</v>
      </c>
      <c r="I313">
        <v>345.38</v>
      </c>
      <c r="J313" t="s">
        <v>29</v>
      </c>
      <c r="K313" s="6">
        <f>tblSales[[#This Row],[Profit]]/tblSales[[#This Row],[Sales]]</f>
        <v>0.173319148509088</v>
      </c>
      <c r="L313" t="str">
        <f>TEXT(tblSales[[#This Row],[Order Date]],"mmm")</f>
        <v>Feb</v>
      </c>
      <c r="M313">
        <f>YEAR(tblSales[[#This Row],[Order Date]])</f>
        <v>2023</v>
      </c>
    </row>
    <row r="314" spans="1:13">
      <c r="A314" t="s">
        <v>651</v>
      </c>
      <c r="B314" s="1">
        <v>44976</v>
      </c>
      <c r="C314" t="s">
        <v>33</v>
      </c>
      <c r="D314" t="s">
        <v>15</v>
      </c>
      <c r="E314" t="s">
        <v>60</v>
      </c>
      <c r="F314" t="s">
        <v>652</v>
      </c>
      <c r="G314">
        <v>456.71</v>
      </c>
      <c r="H314">
        <v>6</v>
      </c>
      <c r="I314">
        <v>26.34</v>
      </c>
      <c r="J314" t="s">
        <v>24</v>
      </c>
      <c r="K314" s="6">
        <f>tblSales[[#This Row],[Profit]]/tblSales[[#This Row],[Sales]]</f>
        <v>5.7673359462240809E-2</v>
      </c>
      <c r="L314" t="str">
        <f>TEXT(tblSales[[#This Row],[Order Date]],"mmm")</f>
        <v>Feb</v>
      </c>
      <c r="M314">
        <f>YEAR(tblSales[[#This Row],[Order Date]])</f>
        <v>2023</v>
      </c>
    </row>
    <row r="315" spans="1:13">
      <c r="A315" t="s">
        <v>653</v>
      </c>
      <c r="B315" s="1">
        <v>44977</v>
      </c>
      <c r="C315" t="s">
        <v>20</v>
      </c>
      <c r="D315" t="s">
        <v>15</v>
      </c>
      <c r="E315" t="s">
        <v>79</v>
      </c>
      <c r="F315" t="s">
        <v>654</v>
      </c>
      <c r="G315">
        <v>935.99</v>
      </c>
      <c r="H315">
        <v>5</v>
      </c>
      <c r="I315">
        <v>216.96</v>
      </c>
      <c r="J315" t="s">
        <v>18</v>
      </c>
      <c r="K315" s="6">
        <f>tblSales[[#This Row],[Profit]]/tblSales[[#This Row],[Sales]]</f>
        <v>0.23179734826226778</v>
      </c>
      <c r="L315" t="str">
        <f>TEXT(tblSales[[#This Row],[Order Date]],"mmm")</f>
        <v>Feb</v>
      </c>
      <c r="M315">
        <f>YEAR(tblSales[[#This Row],[Order Date]])</f>
        <v>2023</v>
      </c>
    </row>
    <row r="316" spans="1:13">
      <c r="A316" t="s">
        <v>655</v>
      </c>
      <c r="B316" s="1">
        <v>44978</v>
      </c>
      <c r="C316" t="s">
        <v>33</v>
      </c>
      <c r="D316" t="s">
        <v>73</v>
      </c>
      <c r="E316" t="s">
        <v>164</v>
      </c>
      <c r="F316" t="s">
        <v>656</v>
      </c>
      <c r="G316">
        <v>1264.95</v>
      </c>
      <c r="H316">
        <v>4</v>
      </c>
      <c r="I316">
        <v>222.9</v>
      </c>
      <c r="J316" t="s">
        <v>24</v>
      </c>
      <c r="K316" s="6">
        <f>tblSales[[#This Row],[Profit]]/tblSales[[#This Row],[Sales]]</f>
        <v>0.17621249851772797</v>
      </c>
      <c r="L316" t="str">
        <f>TEXT(tblSales[[#This Row],[Order Date]],"mmm")</f>
        <v>Feb</v>
      </c>
      <c r="M316">
        <f>YEAR(tblSales[[#This Row],[Order Date]])</f>
        <v>2023</v>
      </c>
    </row>
    <row r="317" spans="1:13">
      <c r="A317" t="s">
        <v>657</v>
      </c>
      <c r="B317" s="1">
        <v>44979</v>
      </c>
      <c r="C317" t="s">
        <v>14</v>
      </c>
      <c r="D317" t="s">
        <v>40</v>
      </c>
      <c r="E317" t="s">
        <v>92</v>
      </c>
      <c r="F317" t="s">
        <v>658</v>
      </c>
      <c r="G317">
        <v>1037.71</v>
      </c>
      <c r="H317">
        <v>9</v>
      </c>
      <c r="I317">
        <v>165.67</v>
      </c>
      <c r="J317" t="s">
        <v>18</v>
      </c>
      <c r="K317" s="6">
        <f>tblSales[[#This Row],[Profit]]/tblSales[[#This Row],[Sales]]</f>
        <v>0.15964961309036241</v>
      </c>
      <c r="L317" t="str">
        <f>TEXT(tblSales[[#This Row],[Order Date]],"mmm")</f>
        <v>Feb</v>
      </c>
      <c r="M317">
        <f>YEAR(tblSales[[#This Row],[Order Date]])</f>
        <v>2023</v>
      </c>
    </row>
    <row r="318" spans="1:13">
      <c r="A318" t="s">
        <v>659</v>
      </c>
      <c r="B318" s="1">
        <v>44980</v>
      </c>
      <c r="C318" t="s">
        <v>14</v>
      </c>
      <c r="D318" t="s">
        <v>73</v>
      </c>
      <c r="E318" t="s">
        <v>74</v>
      </c>
      <c r="F318" t="s">
        <v>660</v>
      </c>
      <c r="G318">
        <v>983.6</v>
      </c>
      <c r="H318">
        <v>2</v>
      </c>
      <c r="I318">
        <v>196.16</v>
      </c>
      <c r="J318" t="s">
        <v>29</v>
      </c>
      <c r="K318" s="6">
        <f>tblSales[[#This Row],[Profit]]/tblSales[[#This Row],[Sales]]</f>
        <v>0.1994306628710858</v>
      </c>
      <c r="L318" t="str">
        <f>TEXT(tblSales[[#This Row],[Order Date]],"mmm")</f>
        <v>Feb</v>
      </c>
      <c r="M318">
        <f>YEAR(tblSales[[#This Row],[Order Date]])</f>
        <v>2023</v>
      </c>
    </row>
    <row r="319" spans="1:13">
      <c r="A319" t="s">
        <v>661</v>
      </c>
      <c r="B319" s="1">
        <v>44981</v>
      </c>
      <c r="C319" t="s">
        <v>33</v>
      </c>
      <c r="D319" t="s">
        <v>15</v>
      </c>
      <c r="E319" t="s">
        <v>79</v>
      </c>
      <c r="F319" t="s">
        <v>662</v>
      </c>
      <c r="G319">
        <v>1984.42</v>
      </c>
      <c r="H319">
        <v>6</v>
      </c>
      <c r="I319">
        <v>277.39999999999998</v>
      </c>
      <c r="J319" t="s">
        <v>29</v>
      </c>
      <c r="K319" s="6">
        <f>tblSales[[#This Row],[Profit]]/tblSales[[#This Row],[Sales]]</f>
        <v>0.13978895596698279</v>
      </c>
      <c r="L319" t="str">
        <f>TEXT(tblSales[[#This Row],[Order Date]],"mmm")</f>
        <v>Feb</v>
      </c>
      <c r="M319">
        <f>YEAR(tblSales[[#This Row],[Order Date]])</f>
        <v>2023</v>
      </c>
    </row>
    <row r="320" spans="1:13">
      <c r="A320" t="s">
        <v>663</v>
      </c>
      <c r="B320" s="1">
        <v>44982</v>
      </c>
      <c r="C320" t="s">
        <v>33</v>
      </c>
      <c r="D320" t="s">
        <v>21</v>
      </c>
      <c r="E320" t="s">
        <v>22</v>
      </c>
      <c r="F320" t="s">
        <v>664</v>
      </c>
      <c r="G320">
        <v>1270.49</v>
      </c>
      <c r="H320">
        <v>1</v>
      </c>
      <c r="I320">
        <v>105.31</v>
      </c>
      <c r="J320" t="s">
        <v>29</v>
      </c>
      <c r="K320" s="6">
        <f>tblSales[[#This Row],[Profit]]/tblSales[[#This Row],[Sales]]</f>
        <v>8.2889278939621724E-2</v>
      </c>
      <c r="L320" t="str">
        <f>TEXT(tblSales[[#This Row],[Order Date]],"mmm")</f>
        <v>Feb</v>
      </c>
      <c r="M320">
        <f>YEAR(tblSales[[#This Row],[Order Date]])</f>
        <v>2023</v>
      </c>
    </row>
    <row r="321" spans="1:13">
      <c r="A321" t="s">
        <v>665</v>
      </c>
      <c r="B321" s="1">
        <v>44983</v>
      </c>
      <c r="C321" t="s">
        <v>14</v>
      </c>
      <c r="D321" t="s">
        <v>26</v>
      </c>
      <c r="E321" t="s">
        <v>34</v>
      </c>
      <c r="F321" t="s">
        <v>666</v>
      </c>
      <c r="G321">
        <v>1819.88</v>
      </c>
      <c r="H321">
        <v>7</v>
      </c>
      <c r="I321">
        <v>378.78</v>
      </c>
      <c r="J321" t="s">
        <v>29</v>
      </c>
      <c r="K321" s="6">
        <f>tblSales[[#This Row],[Profit]]/tblSales[[#This Row],[Sales]]</f>
        <v>0.20813460228146907</v>
      </c>
      <c r="L321" t="str">
        <f>TEXT(tblSales[[#This Row],[Order Date]],"mmm")</f>
        <v>Feb</v>
      </c>
      <c r="M321">
        <f>YEAR(tblSales[[#This Row],[Order Date]])</f>
        <v>2023</v>
      </c>
    </row>
    <row r="322" spans="1:13">
      <c r="A322" t="s">
        <v>667</v>
      </c>
      <c r="B322" s="1">
        <v>44984</v>
      </c>
      <c r="C322" t="s">
        <v>39</v>
      </c>
      <c r="D322" t="s">
        <v>26</v>
      </c>
      <c r="E322" t="s">
        <v>49</v>
      </c>
      <c r="F322" t="s">
        <v>668</v>
      </c>
      <c r="G322">
        <v>1034.98</v>
      </c>
      <c r="H322">
        <v>5</v>
      </c>
      <c r="I322">
        <v>272.82</v>
      </c>
      <c r="J322" t="s">
        <v>18</v>
      </c>
      <c r="K322" s="6">
        <f>tblSales[[#This Row],[Profit]]/tblSales[[#This Row],[Sales]]</f>
        <v>0.26359929660476528</v>
      </c>
      <c r="L322" t="str">
        <f>TEXT(tblSales[[#This Row],[Order Date]],"mmm")</f>
        <v>Feb</v>
      </c>
      <c r="M322">
        <f>YEAR(tblSales[[#This Row],[Order Date]])</f>
        <v>2023</v>
      </c>
    </row>
    <row r="323" spans="1:13">
      <c r="A323" t="s">
        <v>669</v>
      </c>
      <c r="B323" s="1">
        <v>44985</v>
      </c>
      <c r="C323" t="s">
        <v>20</v>
      </c>
      <c r="D323" t="s">
        <v>73</v>
      </c>
      <c r="E323" t="s">
        <v>84</v>
      </c>
      <c r="F323" t="s">
        <v>670</v>
      </c>
      <c r="G323">
        <v>212.84</v>
      </c>
      <c r="H323">
        <v>8</v>
      </c>
      <c r="I323">
        <v>41.47</v>
      </c>
      <c r="J323" t="s">
        <v>29</v>
      </c>
      <c r="K323" s="6">
        <f>tblSales[[#This Row],[Profit]]/tblSales[[#This Row],[Sales]]</f>
        <v>0.19484119526404811</v>
      </c>
      <c r="L323" t="str">
        <f>TEXT(tblSales[[#This Row],[Order Date]],"mmm")</f>
        <v>Feb</v>
      </c>
      <c r="M323">
        <f>YEAR(tblSales[[#This Row],[Order Date]])</f>
        <v>2023</v>
      </c>
    </row>
    <row r="324" spans="1:13">
      <c r="A324" t="s">
        <v>671</v>
      </c>
      <c r="B324" s="1">
        <v>44986</v>
      </c>
      <c r="C324" t="s">
        <v>39</v>
      </c>
      <c r="D324" t="s">
        <v>40</v>
      </c>
      <c r="E324" t="s">
        <v>92</v>
      </c>
      <c r="F324" t="s">
        <v>672</v>
      </c>
      <c r="G324">
        <v>208.62</v>
      </c>
      <c r="H324">
        <v>1</v>
      </c>
      <c r="I324">
        <v>30.83</v>
      </c>
      <c r="J324" t="s">
        <v>24</v>
      </c>
      <c r="K324" s="6">
        <f>tblSales[[#This Row],[Profit]]/tblSales[[#This Row],[Sales]]</f>
        <v>0.14778065382034319</v>
      </c>
      <c r="L324" t="str">
        <f>TEXT(tblSales[[#This Row],[Order Date]],"mmm")</f>
        <v>Mar</v>
      </c>
      <c r="M324">
        <f>YEAR(tblSales[[#This Row],[Order Date]])</f>
        <v>2023</v>
      </c>
    </row>
    <row r="325" spans="1:13">
      <c r="A325" t="s">
        <v>673</v>
      </c>
      <c r="B325" s="1">
        <v>44987</v>
      </c>
      <c r="C325" t="s">
        <v>14</v>
      </c>
      <c r="D325" t="s">
        <v>40</v>
      </c>
      <c r="E325" t="s">
        <v>41</v>
      </c>
      <c r="F325" t="s">
        <v>674</v>
      </c>
      <c r="G325">
        <v>1718.81</v>
      </c>
      <c r="H325">
        <v>5</v>
      </c>
      <c r="I325">
        <v>225.68</v>
      </c>
      <c r="J325" t="s">
        <v>29</v>
      </c>
      <c r="K325" s="6">
        <f>tblSales[[#This Row],[Profit]]/tblSales[[#This Row],[Sales]]</f>
        <v>0.13130014370407433</v>
      </c>
      <c r="L325" t="str">
        <f>TEXT(tblSales[[#This Row],[Order Date]],"mmm")</f>
        <v>Mar</v>
      </c>
      <c r="M325">
        <f>YEAR(tblSales[[#This Row],[Order Date]])</f>
        <v>2023</v>
      </c>
    </row>
    <row r="326" spans="1:13">
      <c r="A326" t="s">
        <v>675</v>
      </c>
      <c r="B326" s="1">
        <v>44988</v>
      </c>
      <c r="C326" t="s">
        <v>20</v>
      </c>
      <c r="D326" t="s">
        <v>40</v>
      </c>
      <c r="E326" t="s">
        <v>92</v>
      </c>
      <c r="F326" t="s">
        <v>676</v>
      </c>
      <c r="G326">
        <v>805.39</v>
      </c>
      <c r="H326">
        <v>7</v>
      </c>
      <c r="I326">
        <v>131.63999999999999</v>
      </c>
      <c r="J326" t="s">
        <v>18</v>
      </c>
      <c r="K326" s="6">
        <f>tblSales[[#This Row],[Profit]]/tblSales[[#This Row],[Sales]]</f>
        <v>0.16344876395286753</v>
      </c>
      <c r="L326" t="str">
        <f>TEXT(tblSales[[#This Row],[Order Date]],"mmm")</f>
        <v>Mar</v>
      </c>
      <c r="M326">
        <f>YEAR(tblSales[[#This Row],[Order Date]])</f>
        <v>2023</v>
      </c>
    </row>
    <row r="327" spans="1:13">
      <c r="A327" t="s">
        <v>677</v>
      </c>
      <c r="B327" s="1">
        <v>44989</v>
      </c>
      <c r="C327" t="s">
        <v>33</v>
      </c>
      <c r="D327" t="s">
        <v>73</v>
      </c>
      <c r="E327" t="s">
        <v>74</v>
      </c>
      <c r="F327" t="s">
        <v>678</v>
      </c>
      <c r="G327">
        <v>165.52</v>
      </c>
      <c r="H327">
        <v>9</v>
      </c>
      <c r="I327">
        <v>26.11</v>
      </c>
      <c r="J327" t="s">
        <v>24</v>
      </c>
      <c r="K327" s="6">
        <f>tblSales[[#This Row],[Profit]]/tblSales[[#This Row],[Sales]]</f>
        <v>0.15774528757854034</v>
      </c>
      <c r="L327" t="str">
        <f>TEXT(tblSales[[#This Row],[Order Date]],"mmm")</f>
        <v>Mar</v>
      </c>
      <c r="M327">
        <f>YEAR(tblSales[[#This Row],[Order Date]])</f>
        <v>2023</v>
      </c>
    </row>
    <row r="328" spans="1:13">
      <c r="A328" t="s">
        <v>679</v>
      </c>
      <c r="B328" s="1">
        <v>44990</v>
      </c>
      <c r="C328" t="s">
        <v>33</v>
      </c>
      <c r="D328" t="s">
        <v>21</v>
      </c>
      <c r="E328" t="s">
        <v>57</v>
      </c>
      <c r="F328" t="s">
        <v>324</v>
      </c>
      <c r="G328">
        <v>1241.95</v>
      </c>
      <c r="H328">
        <v>1</v>
      </c>
      <c r="I328">
        <v>140.5</v>
      </c>
      <c r="J328" t="s">
        <v>29</v>
      </c>
      <c r="K328" s="6">
        <f>tblSales[[#This Row],[Profit]]/tblSales[[#This Row],[Sales]]</f>
        <v>0.11312854784814202</v>
      </c>
      <c r="L328" t="str">
        <f>TEXT(tblSales[[#This Row],[Order Date]],"mmm")</f>
        <v>Mar</v>
      </c>
      <c r="M328">
        <f>YEAR(tblSales[[#This Row],[Order Date]])</f>
        <v>2023</v>
      </c>
    </row>
    <row r="329" spans="1:13">
      <c r="A329" t="s">
        <v>680</v>
      </c>
      <c r="B329" s="1">
        <v>44991</v>
      </c>
      <c r="C329" t="s">
        <v>33</v>
      </c>
      <c r="D329" t="s">
        <v>26</v>
      </c>
      <c r="E329" t="s">
        <v>27</v>
      </c>
      <c r="F329" t="s">
        <v>681</v>
      </c>
      <c r="G329">
        <v>1218.97</v>
      </c>
      <c r="H329">
        <v>5</v>
      </c>
      <c r="I329">
        <v>223.53</v>
      </c>
      <c r="J329" t="s">
        <v>18</v>
      </c>
      <c r="K329" s="6">
        <f>tblSales[[#This Row],[Profit]]/tblSales[[#This Row],[Sales]]</f>
        <v>0.18337612902696537</v>
      </c>
      <c r="L329" t="str">
        <f>TEXT(tblSales[[#This Row],[Order Date]],"mmm")</f>
        <v>Mar</v>
      </c>
      <c r="M329">
        <f>YEAR(tblSales[[#This Row],[Order Date]])</f>
        <v>2023</v>
      </c>
    </row>
    <row r="330" spans="1:13">
      <c r="A330" t="s">
        <v>682</v>
      </c>
      <c r="B330" s="1">
        <v>44992</v>
      </c>
      <c r="C330" t="s">
        <v>14</v>
      </c>
      <c r="D330" t="s">
        <v>73</v>
      </c>
      <c r="E330" t="s">
        <v>84</v>
      </c>
      <c r="F330" t="s">
        <v>683</v>
      </c>
      <c r="G330">
        <v>1615.23</v>
      </c>
      <c r="H330">
        <v>6</v>
      </c>
      <c r="I330">
        <v>163.88</v>
      </c>
      <c r="J330" t="s">
        <v>29</v>
      </c>
      <c r="K330" s="6">
        <f>tblSales[[#This Row],[Profit]]/tblSales[[#This Row],[Sales]]</f>
        <v>0.10145923490772212</v>
      </c>
      <c r="L330" t="str">
        <f>TEXT(tblSales[[#This Row],[Order Date]],"mmm")</f>
        <v>Mar</v>
      </c>
      <c r="M330">
        <f>YEAR(tblSales[[#This Row],[Order Date]])</f>
        <v>2023</v>
      </c>
    </row>
    <row r="331" spans="1:13">
      <c r="A331" t="s">
        <v>684</v>
      </c>
      <c r="B331" s="1">
        <v>44993</v>
      </c>
      <c r="C331" t="s">
        <v>20</v>
      </c>
      <c r="D331" t="s">
        <v>15</v>
      </c>
      <c r="E331" t="s">
        <v>79</v>
      </c>
      <c r="F331" t="s">
        <v>685</v>
      </c>
      <c r="G331">
        <v>263.48</v>
      </c>
      <c r="H331">
        <v>5</v>
      </c>
      <c r="I331">
        <v>74.87</v>
      </c>
      <c r="J331" t="s">
        <v>18</v>
      </c>
      <c r="K331" s="6">
        <f>tblSales[[#This Row],[Profit]]/tblSales[[#This Row],[Sales]]</f>
        <v>0.28415819037498102</v>
      </c>
      <c r="L331" t="str">
        <f>TEXT(tblSales[[#This Row],[Order Date]],"mmm")</f>
        <v>Mar</v>
      </c>
      <c r="M331">
        <f>YEAR(tblSales[[#This Row],[Order Date]])</f>
        <v>2023</v>
      </c>
    </row>
    <row r="332" spans="1:13">
      <c r="A332" t="s">
        <v>686</v>
      </c>
      <c r="B332" s="1">
        <v>44994</v>
      </c>
      <c r="C332" t="s">
        <v>33</v>
      </c>
      <c r="D332" t="s">
        <v>26</v>
      </c>
      <c r="E332" t="s">
        <v>27</v>
      </c>
      <c r="F332" t="s">
        <v>687</v>
      </c>
      <c r="G332">
        <v>464.91</v>
      </c>
      <c r="H332">
        <v>5</v>
      </c>
      <c r="I332">
        <v>131.79</v>
      </c>
      <c r="J332" t="s">
        <v>29</v>
      </c>
      <c r="K332" s="6">
        <f>tblSales[[#This Row],[Profit]]/tblSales[[#This Row],[Sales]]</f>
        <v>0.2834742208169323</v>
      </c>
      <c r="L332" t="str">
        <f>TEXT(tblSales[[#This Row],[Order Date]],"mmm")</f>
        <v>Mar</v>
      </c>
      <c r="M332">
        <f>YEAR(tblSales[[#This Row],[Order Date]])</f>
        <v>2023</v>
      </c>
    </row>
    <row r="333" spans="1:13">
      <c r="A333" t="s">
        <v>688</v>
      </c>
      <c r="B333" s="1">
        <v>44995</v>
      </c>
      <c r="C333" t="s">
        <v>39</v>
      </c>
      <c r="D333" t="s">
        <v>15</v>
      </c>
      <c r="E333" t="s">
        <v>52</v>
      </c>
      <c r="F333" t="s">
        <v>689</v>
      </c>
      <c r="G333">
        <v>102.31</v>
      </c>
      <c r="H333">
        <v>4</v>
      </c>
      <c r="I333">
        <v>30.35</v>
      </c>
      <c r="J333" t="s">
        <v>29</v>
      </c>
      <c r="K333" s="6">
        <f>tblSales[[#This Row],[Profit]]/tblSales[[#This Row],[Sales]]</f>
        <v>0.29664744404261556</v>
      </c>
      <c r="L333" t="str">
        <f>TEXT(tblSales[[#This Row],[Order Date]],"mmm")</f>
        <v>Mar</v>
      </c>
      <c r="M333">
        <f>YEAR(tblSales[[#This Row],[Order Date]])</f>
        <v>2023</v>
      </c>
    </row>
    <row r="334" spans="1:13">
      <c r="A334" t="s">
        <v>690</v>
      </c>
      <c r="B334" s="1">
        <v>44996</v>
      </c>
      <c r="C334" t="s">
        <v>20</v>
      </c>
      <c r="D334" t="s">
        <v>26</v>
      </c>
      <c r="E334" t="s">
        <v>49</v>
      </c>
      <c r="F334" t="s">
        <v>691</v>
      </c>
      <c r="G334">
        <v>54.41</v>
      </c>
      <c r="H334">
        <v>9</v>
      </c>
      <c r="I334">
        <v>11.41</v>
      </c>
      <c r="J334" t="s">
        <v>24</v>
      </c>
      <c r="K334" s="6">
        <f>tblSales[[#This Row],[Profit]]/tblSales[[#This Row],[Sales]]</f>
        <v>0.20970409851130309</v>
      </c>
      <c r="L334" t="str">
        <f>TEXT(tblSales[[#This Row],[Order Date]],"mmm")</f>
        <v>Mar</v>
      </c>
      <c r="M334">
        <f>YEAR(tblSales[[#This Row],[Order Date]])</f>
        <v>2023</v>
      </c>
    </row>
    <row r="335" spans="1:13">
      <c r="A335" t="s">
        <v>692</v>
      </c>
      <c r="B335" s="1">
        <v>44997</v>
      </c>
      <c r="C335" t="s">
        <v>39</v>
      </c>
      <c r="D335" t="s">
        <v>40</v>
      </c>
      <c r="E335" t="s">
        <v>44</v>
      </c>
      <c r="F335" t="s">
        <v>693</v>
      </c>
      <c r="G335">
        <v>920.38</v>
      </c>
      <c r="H335">
        <v>2</v>
      </c>
      <c r="I335">
        <v>124.86</v>
      </c>
      <c r="J335" t="s">
        <v>29</v>
      </c>
      <c r="K335" s="6">
        <f>tblSales[[#This Row],[Profit]]/tblSales[[#This Row],[Sales]]</f>
        <v>0.13566135726547729</v>
      </c>
      <c r="L335" t="str">
        <f>TEXT(tblSales[[#This Row],[Order Date]],"mmm")</f>
        <v>Mar</v>
      </c>
      <c r="M335">
        <f>YEAR(tblSales[[#This Row],[Order Date]])</f>
        <v>2023</v>
      </c>
    </row>
    <row r="336" spans="1:13">
      <c r="A336" t="s">
        <v>694</v>
      </c>
      <c r="B336" s="1">
        <v>44998</v>
      </c>
      <c r="C336" t="s">
        <v>14</v>
      </c>
      <c r="D336" t="s">
        <v>15</v>
      </c>
      <c r="E336" t="s">
        <v>16</v>
      </c>
      <c r="F336" t="s">
        <v>695</v>
      </c>
      <c r="G336">
        <v>268.97000000000003</v>
      </c>
      <c r="H336">
        <v>4</v>
      </c>
      <c r="I336">
        <v>60.83</v>
      </c>
      <c r="J336" t="s">
        <v>18</v>
      </c>
      <c r="K336" s="6">
        <f>tblSales[[#This Row],[Profit]]/tblSales[[#This Row],[Sales]]</f>
        <v>0.22615905119530055</v>
      </c>
      <c r="L336" t="str">
        <f>TEXT(tblSales[[#This Row],[Order Date]],"mmm")</f>
        <v>Mar</v>
      </c>
      <c r="M336">
        <f>YEAR(tblSales[[#This Row],[Order Date]])</f>
        <v>2023</v>
      </c>
    </row>
    <row r="337" spans="1:13">
      <c r="A337" t="s">
        <v>696</v>
      </c>
      <c r="B337" s="1">
        <v>44999</v>
      </c>
      <c r="C337" t="s">
        <v>20</v>
      </c>
      <c r="D337" t="s">
        <v>15</v>
      </c>
      <c r="E337" t="s">
        <v>16</v>
      </c>
      <c r="F337" t="s">
        <v>697</v>
      </c>
      <c r="G337">
        <v>1940.43</v>
      </c>
      <c r="H337">
        <v>1</v>
      </c>
      <c r="I337">
        <v>451.55</v>
      </c>
      <c r="J337" t="s">
        <v>24</v>
      </c>
      <c r="K337" s="6">
        <f>tblSales[[#This Row],[Profit]]/tblSales[[#This Row],[Sales]]</f>
        <v>0.23270615275995526</v>
      </c>
      <c r="L337" t="str">
        <f>TEXT(tblSales[[#This Row],[Order Date]],"mmm")</f>
        <v>Mar</v>
      </c>
      <c r="M337">
        <f>YEAR(tblSales[[#This Row],[Order Date]])</f>
        <v>2023</v>
      </c>
    </row>
    <row r="338" spans="1:13">
      <c r="A338" t="s">
        <v>698</v>
      </c>
      <c r="B338" s="1">
        <v>45000</v>
      </c>
      <c r="C338" t="s">
        <v>39</v>
      </c>
      <c r="D338" t="s">
        <v>26</v>
      </c>
      <c r="E338" t="s">
        <v>49</v>
      </c>
      <c r="F338" t="s">
        <v>699</v>
      </c>
      <c r="G338">
        <v>484.43</v>
      </c>
      <c r="H338">
        <v>6</v>
      </c>
      <c r="I338">
        <v>55.14</v>
      </c>
      <c r="J338" t="s">
        <v>29</v>
      </c>
      <c r="K338" s="6">
        <f>tblSales[[#This Row],[Profit]]/tblSales[[#This Row],[Sales]]</f>
        <v>0.1138244947670458</v>
      </c>
      <c r="L338" t="str">
        <f>TEXT(tblSales[[#This Row],[Order Date]],"mmm")</f>
        <v>Mar</v>
      </c>
      <c r="M338">
        <f>YEAR(tblSales[[#This Row],[Order Date]])</f>
        <v>2023</v>
      </c>
    </row>
    <row r="339" spans="1:13">
      <c r="A339" t="s">
        <v>700</v>
      </c>
      <c r="B339" s="1">
        <v>45001</v>
      </c>
      <c r="C339" t="s">
        <v>33</v>
      </c>
      <c r="D339" t="s">
        <v>15</v>
      </c>
      <c r="E339" t="s">
        <v>16</v>
      </c>
      <c r="F339" t="s">
        <v>701</v>
      </c>
      <c r="G339">
        <v>1957.69</v>
      </c>
      <c r="H339">
        <v>2</v>
      </c>
      <c r="I339">
        <v>217.38</v>
      </c>
      <c r="J339" t="s">
        <v>29</v>
      </c>
      <c r="K339" s="6">
        <f>tblSales[[#This Row],[Profit]]/tblSales[[#This Row],[Sales]]</f>
        <v>0.11103903069433874</v>
      </c>
      <c r="L339" t="str">
        <f>TEXT(tblSales[[#This Row],[Order Date]],"mmm")</f>
        <v>Mar</v>
      </c>
      <c r="M339">
        <f>YEAR(tblSales[[#This Row],[Order Date]])</f>
        <v>2023</v>
      </c>
    </row>
    <row r="340" spans="1:13">
      <c r="A340" t="s">
        <v>702</v>
      </c>
      <c r="B340" s="1">
        <v>45002</v>
      </c>
      <c r="C340" t="s">
        <v>14</v>
      </c>
      <c r="D340" t="s">
        <v>26</v>
      </c>
      <c r="E340" t="s">
        <v>34</v>
      </c>
      <c r="F340" t="s">
        <v>703</v>
      </c>
      <c r="G340">
        <v>1731.93</v>
      </c>
      <c r="H340">
        <v>1</v>
      </c>
      <c r="I340">
        <v>99.75</v>
      </c>
      <c r="J340" t="s">
        <v>18</v>
      </c>
      <c r="K340" s="6">
        <f>tblSales[[#This Row],[Profit]]/tblSales[[#This Row],[Sales]]</f>
        <v>5.7594706483518388E-2</v>
      </c>
      <c r="L340" t="str">
        <f>TEXT(tblSales[[#This Row],[Order Date]],"mmm")</f>
        <v>Mar</v>
      </c>
      <c r="M340">
        <f>YEAR(tblSales[[#This Row],[Order Date]])</f>
        <v>2023</v>
      </c>
    </row>
    <row r="341" spans="1:13">
      <c r="A341" t="s">
        <v>704</v>
      </c>
      <c r="B341" s="1">
        <v>45003</v>
      </c>
      <c r="C341" t="s">
        <v>39</v>
      </c>
      <c r="D341" t="s">
        <v>15</v>
      </c>
      <c r="E341" t="s">
        <v>52</v>
      </c>
      <c r="F341" t="s">
        <v>705</v>
      </c>
      <c r="G341">
        <v>1838.98</v>
      </c>
      <c r="H341">
        <v>1</v>
      </c>
      <c r="I341">
        <v>191.1</v>
      </c>
      <c r="J341" t="s">
        <v>29</v>
      </c>
      <c r="K341" s="6">
        <f>tblSales[[#This Row],[Profit]]/tblSales[[#This Row],[Sales]]</f>
        <v>0.1039163014279655</v>
      </c>
      <c r="L341" t="str">
        <f>TEXT(tblSales[[#This Row],[Order Date]],"mmm")</f>
        <v>Mar</v>
      </c>
      <c r="M341">
        <f>YEAR(tblSales[[#This Row],[Order Date]])</f>
        <v>2023</v>
      </c>
    </row>
    <row r="342" spans="1:13">
      <c r="A342" t="s">
        <v>706</v>
      </c>
      <c r="B342" s="1">
        <v>45004</v>
      </c>
      <c r="C342" t="s">
        <v>20</v>
      </c>
      <c r="D342" t="s">
        <v>26</v>
      </c>
      <c r="E342" t="s">
        <v>27</v>
      </c>
      <c r="F342" t="s">
        <v>707</v>
      </c>
      <c r="G342">
        <v>1340.6</v>
      </c>
      <c r="H342">
        <v>9</v>
      </c>
      <c r="I342">
        <v>102.75</v>
      </c>
      <c r="J342" t="s">
        <v>29</v>
      </c>
      <c r="K342" s="6">
        <f>tblSales[[#This Row],[Profit]]/tblSales[[#This Row],[Sales]]</f>
        <v>7.6644785916753694E-2</v>
      </c>
      <c r="L342" t="str">
        <f>TEXT(tblSales[[#This Row],[Order Date]],"mmm")</f>
        <v>Mar</v>
      </c>
      <c r="M342">
        <f>YEAR(tblSales[[#This Row],[Order Date]])</f>
        <v>2023</v>
      </c>
    </row>
    <row r="343" spans="1:13">
      <c r="A343" t="s">
        <v>708</v>
      </c>
      <c r="B343" s="1">
        <v>45005</v>
      </c>
      <c r="C343" t="s">
        <v>33</v>
      </c>
      <c r="D343" t="s">
        <v>40</v>
      </c>
      <c r="E343" t="s">
        <v>41</v>
      </c>
      <c r="F343" t="s">
        <v>162</v>
      </c>
      <c r="G343">
        <v>1998.84</v>
      </c>
      <c r="H343">
        <v>6</v>
      </c>
      <c r="I343">
        <v>258.91000000000003</v>
      </c>
      <c r="J343" t="s">
        <v>29</v>
      </c>
      <c r="K343" s="6">
        <f>tblSales[[#This Row],[Profit]]/tblSales[[#This Row],[Sales]]</f>
        <v>0.12953012747393489</v>
      </c>
      <c r="L343" t="str">
        <f>TEXT(tblSales[[#This Row],[Order Date]],"mmm")</f>
        <v>Mar</v>
      </c>
      <c r="M343">
        <f>YEAR(tblSales[[#This Row],[Order Date]])</f>
        <v>2023</v>
      </c>
    </row>
    <row r="344" spans="1:13">
      <c r="A344" t="s">
        <v>709</v>
      </c>
      <c r="B344" s="1">
        <v>45006</v>
      </c>
      <c r="C344" t="s">
        <v>14</v>
      </c>
      <c r="D344" t="s">
        <v>26</v>
      </c>
      <c r="E344" t="s">
        <v>49</v>
      </c>
      <c r="F344" t="s">
        <v>710</v>
      </c>
      <c r="G344">
        <v>1986.81</v>
      </c>
      <c r="H344">
        <v>9</v>
      </c>
      <c r="I344">
        <v>144.28</v>
      </c>
      <c r="J344" t="s">
        <v>18</v>
      </c>
      <c r="K344" s="6">
        <f>tblSales[[#This Row],[Profit]]/tblSales[[#This Row],[Sales]]</f>
        <v>7.2618921789199778E-2</v>
      </c>
      <c r="L344" t="str">
        <f>TEXT(tblSales[[#This Row],[Order Date]],"mmm")</f>
        <v>Mar</v>
      </c>
      <c r="M344">
        <f>YEAR(tblSales[[#This Row],[Order Date]])</f>
        <v>2023</v>
      </c>
    </row>
    <row r="345" spans="1:13">
      <c r="A345" t="s">
        <v>711</v>
      </c>
      <c r="B345" s="1">
        <v>45007</v>
      </c>
      <c r="C345" t="s">
        <v>20</v>
      </c>
      <c r="D345" t="s">
        <v>21</v>
      </c>
      <c r="E345" t="s">
        <v>89</v>
      </c>
      <c r="F345" t="s">
        <v>712</v>
      </c>
      <c r="G345">
        <v>1308.01</v>
      </c>
      <c r="H345">
        <v>6</v>
      </c>
      <c r="I345">
        <v>172.34</v>
      </c>
      <c r="J345" t="s">
        <v>24</v>
      </c>
      <c r="K345" s="6">
        <f>tblSales[[#This Row],[Profit]]/tblSales[[#This Row],[Sales]]</f>
        <v>0.13175740246634202</v>
      </c>
      <c r="L345" t="str">
        <f>TEXT(tblSales[[#This Row],[Order Date]],"mmm")</f>
        <v>Mar</v>
      </c>
      <c r="M345">
        <f>YEAR(tblSales[[#This Row],[Order Date]])</f>
        <v>2023</v>
      </c>
    </row>
    <row r="346" spans="1:13">
      <c r="A346" t="s">
        <v>713</v>
      </c>
      <c r="B346" s="1">
        <v>45008</v>
      </c>
      <c r="C346" t="s">
        <v>39</v>
      </c>
      <c r="D346" t="s">
        <v>26</v>
      </c>
      <c r="E346" t="s">
        <v>27</v>
      </c>
      <c r="F346" t="s">
        <v>714</v>
      </c>
      <c r="G346">
        <v>1619.53</v>
      </c>
      <c r="H346">
        <v>2</v>
      </c>
      <c r="I346">
        <v>436.42</v>
      </c>
      <c r="J346" t="s">
        <v>18</v>
      </c>
      <c r="K346" s="6">
        <f>tblSales[[#This Row],[Profit]]/tblSales[[#This Row],[Sales]]</f>
        <v>0.2694732422369453</v>
      </c>
      <c r="L346" t="str">
        <f>TEXT(tblSales[[#This Row],[Order Date]],"mmm")</f>
        <v>Mar</v>
      </c>
      <c r="M346">
        <f>YEAR(tblSales[[#This Row],[Order Date]])</f>
        <v>2023</v>
      </c>
    </row>
    <row r="347" spans="1:13">
      <c r="A347" t="s">
        <v>715</v>
      </c>
      <c r="B347" s="1">
        <v>45009</v>
      </c>
      <c r="C347" t="s">
        <v>39</v>
      </c>
      <c r="D347" t="s">
        <v>73</v>
      </c>
      <c r="E347" t="s">
        <v>74</v>
      </c>
      <c r="F347" t="s">
        <v>716</v>
      </c>
      <c r="G347">
        <v>1740.42</v>
      </c>
      <c r="H347">
        <v>1</v>
      </c>
      <c r="I347">
        <v>139.32</v>
      </c>
      <c r="J347" t="s">
        <v>24</v>
      </c>
      <c r="K347" s="6">
        <f>tblSales[[#This Row],[Profit]]/tblSales[[#This Row],[Sales]]</f>
        <v>8.0049643189574929E-2</v>
      </c>
      <c r="L347" t="str">
        <f>TEXT(tblSales[[#This Row],[Order Date]],"mmm")</f>
        <v>Mar</v>
      </c>
      <c r="M347">
        <f>YEAR(tblSales[[#This Row],[Order Date]])</f>
        <v>2023</v>
      </c>
    </row>
    <row r="348" spans="1:13">
      <c r="A348" t="s">
        <v>717</v>
      </c>
      <c r="B348" s="1">
        <v>45010</v>
      </c>
      <c r="C348" t="s">
        <v>33</v>
      </c>
      <c r="D348" t="s">
        <v>21</v>
      </c>
      <c r="E348" t="s">
        <v>57</v>
      </c>
      <c r="F348" t="s">
        <v>718</v>
      </c>
      <c r="G348">
        <v>670.19</v>
      </c>
      <c r="H348">
        <v>1</v>
      </c>
      <c r="I348">
        <v>94.91</v>
      </c>
      <c r="J348" t="s">
        <v>18</v>
      </c>
      <c r="K348" s="6">
        <f>tblSales[[#This Row],[Profit]]/tblSales[[#This Row],[Sales]]</f>
        <v>0.14161655649890328</v>
      </c>
      <c r="L348" t="str">
        <f>TEXT(tblSales[[#This Row],[Order Date]],"mmm")</f>
        <v>Mar</v>
      </c>
      <c r="M348">
        <f>YEAR(tblSales[[#This Row],[Order Date]])</f>
        <v>2023</v>
      </c>
    </row>
    <row r="349" spans="1:13">
      <c r="A349" t="s">
        <v>719</v>
      </c>
      <c r="B349" s="1">
        <v>45011</v>
      </c>
      <c r="C349" t="s">
        <v>20</v>
      </c>
      <c r="D349" t="s">
        <v>73</v>
      </c>
      <c r="E349" t="s">
        <v>164</v>
      </c>
      <c r="F349" t="s">
        <v>720</v>
      </c>
      <c r="G349">
        <v>1397.03</v>
      </c>
      <c r="H349">
        <v>9</v>
      </c>
      <c r="I349">
        <v>278.18</v>
      </c>
      <c r="J349" t="s">
        <v>29</v>
      </c>
      <c r="K349" s="6">
        <f>tblSales[[#This Row],[Profit]]/tblSales[[#This Row],[Sales]]</f>
        <v>0.19912242399948463</v>
      </c>
      <c r="L349" t="str">
        <f>TEXT(tblSales[[#This Row],[Order Date]],"mmm")</f>
        <v>Mar</v>
      </c>
      <c r="M349">
        <f>YEAR(tblSales[[#This Row],[Order Date]])</f>
        <v>2023</v>
      </c>
    </row>
    <row r="350" spans="1:13">
      <c r="A350" t="s">
        <v>721</v>
      </c>
      <c r="B350" s="1">
        <v>45012</v>
      </c>
      <c r="C350" t="s">
        <v>33</v>
      </c>
      <c r="D350" t="s">
        <v>21</v>
      </c>
      <c r="E350" t="s">
        <v>22</v>
      </c>
      <c r="F350" t="s">
        <v>77</v>
      </c>
      <c r="G350">
        <v>469.99</v>
      </c>
      <c r="H350">
        <v>3</v>
      </c>
      <c r="I350">
        <v>43.29</v>
      </c>
      <c r="J350" t="s">
        <v>24</v>
      </c>
      <c r="K350" s="6">
        <f>tblSales[[#This Row],[Profit]]/tblSales[[#This Row],[Sales]]</f>
        <v>9.2108342730696388E-2</v>
      </c>
      <c r="L350" t="str">
        <f>TEXT(tblSales[[#This Row],[Order Date]],"mmm")</f>
        <v>Mar</v>
      </c>
      <c r="M350">
        <f>YEAR(tblSales[[#This Row],[Order Date]])</f>
        <v>2023</v>
      </c>
    </row>
    <row r="351" spans="1:13">
      <c r="A351" t="s">
        <v>722</v>
      </c>
      <c r="B351" s="1">
        <v>45013</v>
      </c>
      <c r="C351" t="s">
        <v>20</v>
      </c>
      <c r="D351" t="s">
        <v>26</v>
      </c>
      <c r="E351" t="s">
        <v>34</v>
      </c>
      <c r="F351" t="s">
        <v>723</v>
      </c>
      <c r="G351">
        <v>1729.4</v>
      </c>
      <c r="H351">
        <v>2</v>
      </c>
      <c r="I351">
        <v>293.64</v>
      </c>
      <c r="J351" t="s">
        <v>24</v>
      </c>
      <c r="K351" s="6">
        <f>tblSales[[#This Row],[Profit]]/tblSales[[#This Row],[Sales]]</f>
        <v>0.16979299178905977</v>
      </c>
      <c r="L351" t="str">
        <f>TEXT(tblSales[[#This Row],[Order Date]],"mmm")</f>
        <v>Mar</v>
      </c>
      <c r="M351">
        <f>YEAR(tblSales[[#This Row],[Order Date]])</f>
        <v>2023</v>
      </c>
    </row>
    <row r="352" spans="1:13">
      <c r="A352" t="s">
        <v>724</v>
      </c>
      <c r="B352" s="1">
        <v>45014</v>
      </c>
      <c r="C352" t="s">
        <v>33</v>
      </c>
      <c r="D352" t="s">
        <v>26</v>
      </c>
      <c r="E352" t="s">
        <v>27</v>
      </c>
      <c r="F352" t="s">
        <v>725</v>
      </c>
      <c r="G352">
        <v>235.66</v>
      </c>
      <c r="H352">
        <v>5</v>
      </c>
      <c r="I352">
        <v>35.28</v>
      </c>
      <c r="J352" t="s">
        <v>18</v>
      </c>
      <c r="K352" s="6">
        <f>tblSales[[#This Row],[Profit]]/tblSales[[#This Row],[Sales]]</f>
        <v>0.14970720529576509</v>
      </c>
      <c r="L352" t="str">
        <f>TEXT(tblSales[[#This Row],[Order Date]],"mmm")</f>
        <v>Mar</v>
      </c>
      <c r="M352">
        <f>YEAR(tblSales[[#This Row],[Order Date]])</f>
        <v>2023</v>
      </c>
    </row>
    <row r="353" spans="1:13">
      <c r="A353" t="s">
        <v>726</v>
      </c>
      <c r="B353" s="1">
        <v>45015</v>
      </c>
      <c r="C353" t="s">
        <v>33</v>
      </c>
      <c r="D353" t="s">
        <v>73</v>
      </c>
      <c r="E353" t="s">
        <v>74</v>
      </c>
      <c r="F353" t="s">
        <v>727</v>
      </c>
      <c r="G353">
        <v>963.86</v>
      </c>
      <c r="H353">
        <v>7</v>
      </c>
      <c r="I353">
        <v>244.09</v>
      </c>
      <c r="J353" t="s">
        <v>29</v>
      </c>
      <c r="K353" s="6">
        <f>tblSales[[#This Row],[Profit]]/tblSales[[#This Row],[Sales]]</f>
        <v>0.25324217209968253</v>
      </c>
      <c r="L353" t="str">
        <f>TEXT(tblSales[[#This Row],[Order Date]],"mmm")</f>
        <v>Mar</v>
      </c>
      <c r="M353">
        <f>YEAR(tblSales[[#This Row],[Order Date]])</f>
        <v>2023</v>
      </c>
    </row>
    <row r="354" spans="1:13">
      <c r="A354" t="s">
        <v>728</v>
      </c>
      <c r="B354" s="1">
        <v>45016</v>
      </c>
      <c r="C354" t="s">
        <v>20</v>
      </c>
      <c r="D354" t="s">
        <v>26</v>
      </c>
      <c r="E354" t="s">
        <v>49</v>
      </c>
      <c r="F354" t="s">
        <v>729</v>
      </c>
      <c r="G354">
        <v>1911.94</v>
      </c>
      <c r="H354">
        <v>5</v>
      </c>
      <c r="I354">
        <v>189.18</v>
      </c>
      <c r="J354" t="s">
        <v>24</v>
      </c>
      <c r="K354" s="6">
        <f>tblSales[[#This Row],[Profit]]/tblSales[[#This Row],[Sales]]</f>
        <v>9.8946619663796975E-2</v>
      </c>
      <c r="L354" t="str">
        <f>TEXT(tblSales[[#This Row],[Order Date]],"mmm")</f>
        <v>Mar</v>
      </c>
      <c r="M354">
        <f>YEAR(tblSales[[#This Row],[Order Date]])</f>
        <v>2023</v>
      </c>
    </row>
    <row r="355" spans="1:13">
      <c r="A355" t="s">
        <v>730</v>
      </c>
      <c r="B355" s="1">
        <v>45017</v>
      </c>
      <c r="C355" t="s">
        <v>20</v>
      </c>
      <c r="D355" t="s">
        <v>21</v>
      </c>
      <c r="E355" t="s">
        <v>22</v>
      </c>
      <c r="F355" t="s">
        <v>731</v>
      </c>
      <c r="G355">
        <v>161.13</v>
      </c>
      <c r="H355">
        <v>9</v>
      </c>
      <c r="I355">
        <v>34.43</v>
      </c>
      <c r="J355" t="s">
        <v>29</v>
      </c>
      <c r="K355" s="6">
        <f>tblSales[[#This Row],[Profit]]/tblSales[[#This Row],[Sales]]</f>
        <v>0.21367839632594798</v>
      </c>
      <c r="L355" t="str">
        <f>TEXT(tblSales[[#This Row],[Order Date]],"mmm")</f>
        <v>Apr</v>
      </c>
      <c r="M355">
        <f>YEAR(tblSales[[#This Row],[Order Date]])</f>
        <v>2023</v>
      </c>
    </row>
    <row r="356" spans="1:13">
      <c r="A356" t="s">
        <v>732</v>
      </c>
      <c r="B356" s="1">
        <v>45018</v>
      </c>
      <c r="C356" t="s">
        <v>33</v>
      </c>
      <c r="D356" t="s">
        <v>21</v>
      </c>
      <c r="E356" t="s">
        <v>89</v>
      </c>
      <c r="F356" t="s">
        <v>733</v>
      </c>
      <c r="G356">
        <v>410.37</v>
      </c>
      <c r="H356">
        <v>6</v>
      </c>
      <c r="I356">
        <v>40.479999999999997</v>
      </c>
      <c r="J356" t="s">
        <v>24</v>
      </c>
      <c r="K356" s="6">
        <f>tblSales[[#This Row],[Profit]]/tblSales[[#This Row],[Sales]]</f>
        <v>9.8642688305675352E-2</v>
      </c>
      <c r="L356" t="str">
        <f>TEXT(tblSales[[#This Row],[Order Date]],"mmm")</f>
        <v>Apr</v>
      </c>
      <c r="M356">
        <f>YEAR(tblSales[[#This Row],[Order Date]])</f>
        <v>2023</v>
      </c>
    </row>
    <row r="357" spans="1:13">
      <c r="A357" t="s">
        <v>734</v>
      </c>
      <c r="B357" s="1">
        <v>45019</v>
      </c>
      <c r="C357" t="s">
        <v>14</v>
      </c>
      <c r="D357" t="s">
        <v>40</v>
      </c>
      <c r="E357" t="s">
        <v>44</v>
      </c>
      <c r="F357" t="s">
        <v>735</v>
      </c>
      <c r="G357">
        <v>1242.3599999999999</v>
      </c>
      <c r="H357">
        <v>5</v>
      </c>
      <c r="I357">
        <v>150.6</v>
      </c>
      <c r="J357" t="s">
        <v>29</v>
      </c>
      <c r="K357" s="6">
        <f>tblSales[[#This Row],[Profit]]/tblSales[[#This Row],[Sales]]</f>
        <v>0.12122090215396504</v>
      </c>
      <c r="L357" t="str">
        <f>TEXT(tblSales[[#This Row],[Order Date]],"mmm")</f>
        <v>Apr</v>
      </c>
      <c r="M357">
        <f>YEAR(tblSales[[#This Row],[Order Date]])</f>
        <v>2023</v>
      </c>
    </row>
    <row r="358" spans="1:13">
      <c r="A358" t="s">
        <v>736</v>
      </c>
      <c r="B358" s="1">
        <v>45020</v>
      </c>
      <c r="C358" t="s">
        <v>20</v>
      </c>
      <c r="D358" t="s">
        <v>73</v>
      </c>
      <c r="E358" t="s">
        <v>74</v>
      </c>
      <c r="F358" t="s">
        <v>737</v>
      </c>
      <c r="G358">
        <v>1609.99</v>
      </c>
      <c r="H358">
        <v>3</v>
      </c>
      <c r="I358">
        <v>314.32</v>
      </c>
      <c r="J358" t="s">
        <v>29</v>
      </c>
      <c r="K358" s="6">
        <f>tblSales[[#This Row],[Profit]]/tblSales[[#This Row],[Sales]]</f>
        <v>0.19523102627966632</v>
      </c>
      <c r="L358" t="str">
        <f>TEXT(tblSales[[#This Row],[Order Date]],"mmm")</f>
        <v>Apr</v>
      </c>
      <c r="M358">
        <f>YEAR(tblSales[[#This Row],[Order Date]])</f>
        <v>2023</v>
      </c>
    </row>
    <row r="359" spans="1:13">
      <c r="A359" t="s">
        <v>738</v>
      </c>
      <c r="B359" s="1">
        <v>45021</v>
      </c>
      <c r="C359" t="s">
        <v>14</v>
      </c>
      <c r="D359" t="s">
        <v>21</v>
      </c>
      <c r="E359" t="s">
        <v>22</v>
      </c>
      <c r="F359" t="s">
        <v>739</v>
      </c>
      <c r="G359">
        <v>1440.92</v>
      </c>
      <c r="H359">
        <v>2</v>
      </c>
      <c r="I359">
        <v>170.25</v>
      </c>
      <c r="J359" t="s">
        <v>24</v>
      </c>
      <c r="K359" s="6">
        <f>tblSales[[#This Row],[Profit]]/tblSales[[#This Row],[Sales]]</f>
        <v>0.11815367959359298</v>
      </c>
      <c r="L359" t="str">
        <f>TEXT(tblSales[[#This Row],[Order Date]],"mmm")</f>
        <v>Apr</v>
      </c>
      <c r="M359">
        <f>YEAR(tblSales[[#This Row],[Order Date]])</f>
        <v>2023</v>
      </c>
    </row>
    <row r="360" spans="1:13">
      <c r="A360" t="s">
        <v>740</v>
      </c>
      <c r="B360" s="1">
        <v>45022</v>
      </c>
      <c r="C360" t="s">
        <v>14</v>
      </c>
      <c r="D360" t="s">
        <v>73</v>
      </c>
      <c r="E360" t="s">
        <v>84</v>
      </c>
      <c r="F360" t="s">
        <v>741</v>
      </c>
      <c r="G360">
        <v>261.33</v>
      </c>
      <c r="H360">
        <v>7</v>
      </c>
      <c r="I360">
        <v>57.57</v>
      </c>
      <c r="J360" t="s">
        <v>24</v>
      </c>
      <c r="K360" s="6">
        <f>tblSales[[#This Row],[Profit]]/tblSales[[#This Row],[Sales]]</f>
        <v>0.22029617724715878</v>
      </c>
      <c r="L360" t="str">
        <f>TEXT(tblSales[[#This Row],[Order Date]],"mmm")</f>
        <v>Apr</v>
      </c>
      <c r="M360">
        <f>YEAR(tblSales[[#This Row],[Order Date]])</f>
        <v>2023</v>
      </c>
    </row>
    <row r="361" spans="1:13">
      <c r="A361" t="s">
        <v>742</v>
      </c>
      <c r="B361" s="1">
        <v>45023</v>
      </c>
      <c r="C361" t="s">
        <v>39</v>
      </c>
      <c r="D361" t="s">
        <v>15</v>
      </c>
      <c r="E361" t="s">
        <v>52</v>
      </c>
      <c r="F361" t="s">
        <v>743</v>
      </c>
      <c r="G361">
        <v>1059.82</v>
      </c>
      <c r="H361">
        <v>7</v>
      </c>
      <c r="I361">
        <v>131.22999999999999</v>
      </c>
      <c r="J361" t="s">
        <v>18</v>
      </c>
      <c r="K361" s="6">
        <f>tblSales[[#This Row],[Profit]]/tblSales[[#This Row],[Sales]]</f>
        <v>0.12382291332490422</v>
      </c>
      <c r="L361" t="str">
        <f>TEXT(tblSales[[#This Row],[Order Date]],"mmm")</f>
        <v>Apr</v>
      </c>
      <c r="M361">
        <f>YEAR(tblSales[[#This Row],[Order Date]])</f>
        <v>2023</v>
      </c>
    </row>
    <row r="362" spans="1:13">
      <c r="A362" t="s">
        <v>744</v>
      </c>
      <c r="B362" s="1">
        <v>45024</v>
      </c>
      <c r="C362" t="s">
        <v>39</v>
      </c>
      <c r="D362" t="s">
        <v>21</v>
      </c>
      <c r="E362" t="s">
        <v>57</v>
      </c>
      <c r="F362" t="s">
        <v>745</v>
      </c>
      <c r="G362">
        <v>386.75</v>
      </c>
      <c r="H362">
        <v>8</v>
      </c>
      <c r="I362">
        <v>112.44</v>
      </c>
      <c r="J362" t="s">
        <v>18</v>
      </c>
      <c r="K362" s="6">
        <f>tblSales[[#This Row],[Profit]]/tblSales[[#This Row],[Sales]]</f>
        <v>0.29073044602456366</v>
      </c>
      <c r="L362" t="str">
        <f>TEXT(tblSales[[#This Row],[Order Date]],"mmm")</f>
        <v>Apr</v>
      </c>
      <c r="M362">
        <f>YEAR(tblSales[[#This Row],[Order Date]])</f>
        <v>2023</v>
      </c>
    </row>
    <row r="363" spans="1:13">
      <c r="A363" t="s">
        <v>746</v>
      </c>
      <c r="B363" s="1">
        <v>45025</v>
      </c>
      <c r="C363" t="s">
        <v>33</v>
      </c>
      <c r="D363" t="s">
        <v>15</v>
      </c>
      <c r="E363" t="s">
        <v>60</v>
      </c>
      <c r="F363" t="s">
        <v>747</v>
      </c>
      <c r="G363">
        <v>1615.87</v>
      </c>
      <c r="H363">
        <v>1</v>
      </c>
      <c r="I363">
        <v>231.68</v>
      </c>
      <c r="J363" t="s">
        <v>29</v>
      </c>
      <c r="K363" s="6">
        <f>tblSales[[#This Row],[Profit]]/tblSales[[#This Row],[Sales]]</f>
        <v>0.14337787074455249</v>
      </c>
      <c r="L363" t="str">
        <f>TEXT(tblSales[[#This Row],[Order Date]],"mmm")</f>
        <v>Apr</v>
      </c>
      <c r="M363">
        <f>YEAR(tblSales[[#This Row],[Order Date]])</f>
        <v>2023</v>
      </c>
    </row>
    <row r="364" spans="1:13">
      <c r="A364" t="s">
        <v>748</v>
      </c>
      <c r="B364" s="1">
        <v>45026</v>
      </c>
      <c r="C364" t="s">
        <v>20</v>
      </c>
      <c r="D364" t="s">
        <v>40</v>
      </c>
      <c r="E364" t="s">
        <v>92</v>
      </c>
      <c r="F364" t="s">
        <v>749</v>
      </c>
      <c r="G364">
        <v>242.36</v>
      </c>
      <c r="H364">
        <v>7</v>
      </c>
      <c r="I364">
        <v>50.77</v>
      </c>
      <c r="J364" t="s">
        <v>24</v>
      </c>
      <c r="K364" s="6">
        <f>tblSales[[#This Row],[Profit]]/tblSales[[#This Row],[Sales]]</f>
        <v>0.20948176266710677</v>
      </c>
      <c r="L364" t="str">
        <f>TEXT(tblSales[[#This Row],[Order Date]],"mmm")</f>
        <v>Apr</v>
      </c>
      <c r="M364">
        <f>YEAR(tblSales[[#This Row],[Order Date]])</f>
        <v>2023</v>
      </c>
    </row>
    <row r="365" spans="1:13">
      <c r="A365" t="s">
        <v>750</v>
      </c>
      <c r="B365" s="1">
        <v>45027</v>
      </c>
      <c r="C365" t="s">
        <v>20</v>
      </c>
      <c r="D365" t="s">
        <v>15</v>
      </c>
      <c r="E365" t="s">
        <v>16</v>
      </c>
      <c r="F365" t="s">
        <v>189</v>
      </c>
      <c r="G365">
        <v>1591.61</v>
      </c>
      <c r="H365">
        <v>8</v>
      </c>
      <c r="I365">
        <v>243.13</v>
      </c>
      <c r="J365" t="s">
        <v>18</v>
      </c>
      <c r="K365" s="6">
        <f>tblSales[[#This Row],[Profit]]/tblSales[[#This Row],[Sales]]</f>
        <v>0.15275727093948896</v>
      </c>
      <c r="L365" t="str">
        <f>TEXT(tblSales[[#This Row],[Order Date]],"mmm")</f>
        <v>Apr</v>
      </c>
      <c r="M365">
        <f>YEAR(tblSales[[#This Row],[Order Date]])</f>
        <v>2023</v>
      </c>
    </row>
    <row r="366" spans="1:13">
      <c r="A366" t="s">
        <v>751</v>
      </c>
      <c r="B366" s="1">
        <v>45028</v>
      </c>
      <c r="C366" t="s">
        <v>33</v>
      </c>
      <c r="D366" t="s">
        <v>15</v>
      </c>
      <c r="E366" t="s">
        <v>16</v>
      </c>
      <c r="F366" t="s">
        <v>37</v>
      </c>
      <c r="G366">
        <v>1802.05</v>
      </c>
      <c r="H366">
        <v>1</v>
      </c>
      <c r="I366">
        <v>196.82</v>
      </c>
      <c r="J366" t="s">
        <v>24</v>
      </c>
      <c r="K366" s="6">
        <f>tblSales[[#This Row],[Profit]]/tblSales[[#This Row],[Sales]]</f>
        <v>0.10922005493743236</v>
      </c>
      <c r="L366" t="str">
        <f>TEXT(tblSales[[#This Row],[Order Date]],"mmm")</f>
        <v>Apr</v>
      </c>
      <c r="M366">
        <f>YEAR(tblSales[[#This Row],[Order Date]])</f>
        <v>2023</v>
      </c>
    </row>
    <row r="367" spans="1:13">
      <c r="A367" t="s">
        <v>752</v>
      </c>
      <c r="B367" s="1">
        <v>45029</v>
      </c>
      <c r="C367" t="s">
        <v>39</v>
      </c>
      <c r="D367" t="s">
        <v>26</v>
      </c>
      <c r="E367" t="s">
        <v>34</v>
      </c>
      <c r="F367" t="s">
        <v>753</v>
      </c>
      <c r="G367">
        <v>564.12</v>
      </c>
      <c r="H367">
        <v>3</v>
      </c>
      <c r="I367">
        <v>148.25</v>
      </c>
      <c r="J367" t="s">
        <v>29</v>
      </c>
      <c r="K367" s="6">
        <f>tblSales[[#This Row],[Profit]]/tblSales[[#This Row],[Sales]]</f>
        <v>0.26279869531305394</v>
      </c>
      <c r="L367" t="str">
        <f>TEXT(tblSales[[#This Row],[Order Date]],"mmm")</f>
        <v>Apr</v>
      </c>
      <c r="M367">
        <f>YEAR(tblSales[[#This Row],[Order Date]])</f>
        <v>2023</v>
      </c>
    </row>
    <row r="368" spans="1:13">
      <c r="A368" t="s">
        <v>754</v>
      </c>
      <c r="B368" s="1">
        <v>45030</v>
      </c>
      <c r="C368" t="s">
        <v>14</v>
      </c>
      <c r="D368" t="s">
        <v>21</v>
      </c>
      <c r="E368" t="s">
        <v>22</v>
      </c>
      <c r="F368" t="s">
        <v>755</v>
      </c>
      <c r="G368">
        <v>209.16</v>
      </c>
      <c r="H368">
        <v>4</v>
      </c>
      <c r="I368">
        <v>18.29</v>
      </c>
      <c r="J368" t="s">
        <v>29</v>
      </c>
      <c r="K368" s="6">
        <f>tblSales[[#This Row],[Profit]]/tblSales[[#This Row],[Sales]]</f>
        <v>8.7445018167909727E-2</v>
      </c>
      <c r="L368" t="str">
        <f>TEXT(tblSales[[#This Row],[Order Date]],"mmm")</f>
        <v>Apr</v>
      </c>
      <c r="M368">
        <f>YEAR(tblSales[[#This Row],[Order Date]])</f>
        <v>2023</v>
      </c>
    </row>
    <row r="369" spans="1:13">
      <c r="A369" t="s">
        <v>756</v>
      </c>
      <c r="B369" s="1">
        <v>45031</v>
      </c>
      <c r="C369" t="s">
        <v>39</v>
      </c>
      <c r="D369" t="s">
        <v>26</v>
      </c>
      <c r="E369" t="s">
        <v>49</v>
      </c>
      <c r="F369" t="s">
        <v>757</v>
      </c>
      <c r="G369">
        <v>352.67</v>
      </c>
      <c r="H369">
        <v>3</v>
      </c>
      <c r="I369">
        <v>94.27</v>
      </c>
      <c r="J369" t="s">
        <v>24</v>
      </c>
      <c r="K369" s="6">
        <f>tblSales[[#This Row],[Profit]]/tblSales[[#This Row],[Sales]]</f>
        <v>0.26730371168514472</v>
      </c>
      <c r="L369" t="str">
        <f>TEXT(tblSales[[#This Row],[Order Date]],"mmm")</f>
        <v>Apr</v>
      </c>
      <c r="M369">
        <f>YEAR(tblSales[[#This Row],[Order Date]])</f>
        <v>2023</v>
      </c>
    </row>
    <row r="370" spans="1:13">
      <c r="A370" t="s">
        <v>758</v>
      </c>
      <c r="B370" s="1">
        <v>45032</v>
      </c>
      <c r="C370" t="s">
        <v>39</v>
      </c>
      <c r="D370" t="s">
        <v>15</v>
      </c>
      <c r="E370" t="s">
        <v>79</v>
      </c>
      <c r="F370" t="s">
        <v>759</v>
      </c>
      <c r="G370">
        <v>1080.01</v>
      </c>
      <c r="H370">
        <v>6</v>
      </c>
      <c r="I370">
        <v>60.38</v>
      </c>
      <c r="J370" t="s">
        <v>29</v>
      </c>
      <c r="K370" s="6">
        <f>tblSales[[#This Row],[Profit]]/tblSales[[#This Row],[Sales]]</f>
        <v>5.590688975102083E-2</v>
      </c>
      <c r="L370" t="str">
        <f>TEXT(tblSales[[#This Row],[Order Date]],"mmm")</f>
        <v>Apr</v>
      </c>
      <c r="M370">
        <f>YEAR(tblSales[[#This Row],[Order Date]])</f>
        <v>2023</v>
      </c>
    </row>
    <row r="371" spans="1:13">
      <c r="A371" t="s">
        <v>760</v>
      </c>
      <c r="B371" s="1">
        <v>45033</v>
      </c>
      <c r="C371" t="s">
        <v>14</v>
      </c>
      <c r="D371" t="s">
        <v>40</v>
      </c>
      <c r="E371" t="s">
        <v>92</v>
      </c>
      <c r="F371" t="s">
        <v>761</v>
      </c>
      <c r="G371">
        <v>1222.05</v>
      </c>
      <c r="H371">
        <v>9</v>
      </c>
      <c r="I371">
        <v>180.53</v>
      </c>
      <c r="J371" t="s">
        <v>29</v>
      </c>
      <c r="K371" s="6">
        <f>tblSales[[#This Row],[Profit]]/tblSales[[#This Row],[Sales]]</f>
        <v>0.14772717973896321</v>
      </c>
      <c r="L371" t="str">
        <f>TEXT(tblSales[[#This Row],[Order Date]],"mmm")</f>
        <v>Apr</v>
      </c>
      <c r="M371">
        <f>YEAR(tblSales[[#This Row],[Order Date]])</f>
        <v>2023</v>
      </c>
    </row>
    <row r="372" spans="1:13">
      <c r="A372" t="s">
        <v>762</v>
      </c>
      <c r="B372" s="1">
        <v>45034</v>
      </c>
      <c r="C372" t="s">
        <v>33</v>
      </c>
      <c r="D372" t="s">
        <v>26</v>
      </c>
      <c r="E372" t="s">
        <v>27</v>
      </c>
      <c r="F372" t="s">
        <v>763</v>
      </c>
      <c r="G372">
        <v>1003.6</v>
      </c>
      <c r="H372">
        <v>2</v>
      </c>
      <c r="I372">
        <v>119.06</v>
      </c>
      <c r="J372" t="s">
        <v>18</v>
      </c>
      <c r="K372" s="6">
        <f>tblSales[[#This Row],[Profit]]/tblSales[[#This Row],[Sales]]</f>
        <v>0.11863292148266241</v>
      </c>
      <c r="L372" t="str">
        <f>TEXT(tblSales[[#This Row],[Order Date]],"mmm")</f>
        <v>Apr</v>
      </c>
      <c r="M372">
        <f>YEAR(tblSales[[#This Row],[Order Date]])</f>
        <v>2023</v>
      </c>
    </row>
    <row r="373" spans="1:13">
      <c r="A373" t="s">
        <v>764</v>
      </c>
      <c r="B373" s="1">
        <v>45035</v>
      </c>
      <c r="C373" t="s">
        <v>20</v>
      </c>
      <c r="D373" t="s">
        <v>40</v>
      </c>
      <c r="E373" t="s">
        <v>92</v>
      </c>
      <c r="F373" t="s">
        <v>765</v>
      </c>
      <c r="G373">
        <v>1358.17</v>
      </c>
      <c r="H373">
        <v>6</v>
      </c>
      <c r="I373">
        <v>219.27</v>
      </c>
      <c r="J373" t="s">
        <v>18</v>
      </c>
      <c r="K373" s="6">
        <f>tblSales[[#This Row],[Profit]]/tblSales[[#This Row],[Sales]]</f>
        <v>0.16144517991120405</v>
      </c>
      <c r="L373" t="str">
        <f>TEXT(tblSales[[#This Row],[Order Date]],"mmm")</f>
        <v>Apr</v>
      </c>
      <c r="M373">
        <f>YEAR(tblSales[[#This Row],[Order Date]])</f>
        <v>2023</v>
      </c>
    </row>
    <row r="374" spans="1:13">
      <c r="A374" t="s">
        <v>766</v>
      </c>
      <c r="B374" s="1">
        <v>45036</v>
      </c>
      <c r="C374" t="s">
        <v>39</v>
      </c>
      <c r="D374" t="s">
        <v>21</v>
      </c>
      <c r="E374" t="s">
        <v>57</v>
      </c>
      <c r="F374" t="s">
        <v>767</v>
      </c>
      <c r="G374">
        <v>274.22000000000003</v>
      </c>
      <c r="H374">
        <v>3</v>
      </c>
      <c r="I374">
        <v>55.06</v>
      </c>
      <c r="J374" t="s">
        <v>24</v>
      </c>
      <c r="K374" s="6">
        <f>tblSales[[#This Row],[Profit]]/tblSales[[#This Row],[Sales]]</f>
        <v>0.20078768871708846</v>
      </c>
      <c r="L374" t="str">
        <f>TEXT(tblSales[[#This Row],[Order Date]],"mmm")</f>
        <v>Apr</v>
      </c>
      <c r="M374">
        <f>YEAR(tblSales[[#This Row],[Order Date]])</f>
        <v>2023</v>
      </c>
    </row>
    <row r="375" spans="1:13">
      <c r="A375" t="s">
        <v>768</v>
      </c>
      <c r="B375" s="1">
        <v>45037</v>
      </c>
      <c r="C375" t="s">
        <v>33</v>
      </c>
      <c r="D375" t="s">
        <v>73</v>
      </c>
      <c r="E375" t="s">
        <v>84</v>
      </c>
      <c r="F375" t="s">
        <v>769</v>
      </c>
      <c r="G375">
        <v>1812.94</v>
      </c>
      <c r="H375">
        <v>4</v>
      </c>
      <c r="I375">
        <v>129.47</v>
      </c>
      <c r="J375" t="s">
        <v>24</v>
      </c>
      <c r="K375" s="6">
        <f>tblSales[[#This Row],[Profit]]/tblSales[[#This Row],[Sales]]</f>
        <v>7.1414387679680516E-2</v>
      </c>
      <c r="L375" t="str">
        <f>TEXT(tblSales[[#This Row],[Order Date]],"mmm")</f>
        <v>Apr</v>
      </c>
      <c r="M375">
        <f>YEAR(tblSales[[#This Row],[Order Date]])</f>
        <v>2023</v>
      </c>
    </row>
    <row r="376" spans="1:13">
      <c r="A376" t="s">
        <v>770</v>
      </c>
      <c r="B376" s="1">
        <v>45038</v>
      </c>
      <c r="C376" t="s">
        <v>20</v>
      </c>
      <c r="D376" t="s">
        <v>73</v>
      </c>
      <c r="E376" t="s">
        <v>164</v>
      </c>
      <c r="F376" t="s">
        <v>771</v>
      </c>
      <c r="G376">
        <v>399.9</v>
      </c>
      <c r="H376">
        <v>8</v>
      </c>
      <c r="I376">
        <v>56.68</v>
      </c>
      <c r="J376" t="s">
        <v>18</v>
      </c>
      <c r="K376" s="6">
        <f>tblSales[[#This Row],[Profit]]/tblSales[[#This Row],[Sales]]</f>
        <v>0.14173543385846463</v>
      </c>
      <c r="L376" t="str">
        <f>TEXT(tblSales[[#This Row],[Order Date]],"mmm")</f>
        <v>Apr</v>
      </c>
      <c r="M376">
        <f>YEAR(tblSales[[#This Row],[Order Date]])</f>
        <v>2023</v>
      </c>
    </row>
    <row r="377" spans="1:13">
      <c r="A377" t="s">
        <v>772</v>
      </c>
      <c r="B377" s="1">
        <v>45039</v>
      </c>
      <c r="C377" t="s">
        <v>39</v>
      </c>
      <c r="D377" t="s">
        <v>21</v>
      </c>
      <c r="E377" t="s">
        <v>57</v>
      </c>
      <c r="F377" t="s">
        <v>773</v>
      </c>
      <c r="G377">
        <v>1241.97</v>
      </c>
      <c r="H377">
        <v>1</v>
      </c>
      <c r="I377">
        <v>320.39</v>
      </c>
      <c r="J377" t="s">
        <v>18</v>
      </c>
      <c r="K377" s="6">
        <f>tblSales[[#This Row],[Profit]]/tblSales[[#This Row],[Sales]]</f>
        <v>0.25796919410291713</v>
      </c>
      <c r="L377" t="str">
        <f>TEXT(tblSales[[#This Row],[Order Date]],"mmm")</f>
        <v>Apr</v>
      </c>
      <c r="M377">
        <f>YEAR(tblSales[[#This Row],[Order Date]])</f>
        <v>2023</v>
      </c>
    </row>
    <row r="378" spans="1:13">
      <c r="A378" t="s">
        <v>774</v>
      </c>
      <c r="B378" s="1">
        <v>45040</v>
      </c>
      <c r="C378" t="s">
        <v>14</v>
      </c>
      <c r="D378" t="s">
        <v>21</v>
      </c>
      <c r="E378" t="s">
        <v>57</v>
      </c>
      <c r="F378" t="s">
        <v>775</v>
      </c>
      <c r="G378">
        <v>482.75</v>
      </c>
      <c r="H378">
        <v>5</v>
      </c>
      <c r="I378">
        <v>56.86</v>
      </c>
      <c r="J378" t="s">
        <v>18</v>
      </c>
      <c r="K378" s="6">
        <f>tblSales[[#This Row],[Profit]]/tblSales[[#This Row],[Sales]]</f>
        <v>0.11778353184878301</v>
      </c>
      <c r="L378" t="str">
        <f>TEXT(tblSales[[#This Row],[Order Date]],"mmm")</f>
        <v>Apr</v>
      </c>
      <c r="M378">
        <f>YEAR(tblSales[[#This Row],[Order Date]])</f>
        <v>2023</v>
      </c>
    </row>
    <row r="379" spans="1:13">
      <c r="A379" t="s">
        <v>776</v>
      </c>
      <c r="B379" s="1">
        <v>45041</v>
      </c>
      <c r="C379" t="s">
        <v>33</v>
      </c>
      <c r="D379" t="s">
        <v>26</v>
      </c>
      <c r="E379" t="s">
        <v>34</v>
      </c>
      <c r="F379" t="s">
        <v>777</v>
      </c>
      <c r="G379">
        <v>1366.66</v>
      </c>
      <c r="H379">
        <v>3</v>
      </c>
      <c r="I379">
        <v>133.36000000000001</v>
      </c>
      <c r="J379" t="s">
        <v>24</v>
      </c>
      <c r="K379" s="6">
        <f>tblSales[[#This Row],[Profit]]/tblSales[[#This Row],[Sales]]</f>
        <v>9.7580963809579563E-2</v>
      </c>
      <c r="L379" t="str">
        <f>TEXT(tblSales[[#This Row],[Order Date]],"mmm")</f>
        <v>Apr</v>
      </c>
      <c r="M379">
        <f>YEAR(tblSales[[#This Row],[Order Date]])</f>
        <v>2023</v>
      </c>
    </row>
    <row r="380" spans="1:13">
      <c r="A380" t="s">
        <v>778</v>
      </c>
      <c r="B380" s="1">
        <v>45042</v>
      </c>
      <c r="C380" t="s">
        <v>39</v>
      </c>
      <c r="D380" t="s">
        <v>21</v>
      </c>
      <c r="E380" t="s">
        <v>57</v>
      </c>
      <c r="F380" t="s">
        <v>775</v>
      </c>
      <c r="G380">
        <v>1330.44</v>
      </c>
      <c r="H380">
        <v>1</v>
      </c>
      <c r="I380">
        <v>397.63</v>
      </c>
      <c r="J380" t="s">
        <v>29</v>
      </c>
      <c r="K380" s="6">
        <f>tblSales[[#This Row],[Profit]]/tblSales[[#This Row],[Sales]]</f>
        <v>0.29887105017888815</v>
      </c>
      <c r="L380" t="str">
        <f>TEXT(tblSales[[#This Row],[Order Date]],"mmm")</f>
        <v>Apr</v>
      </c>
      <c r="M380">
        <f>YEAR(tblSales[[#This Row],[Order Date]])</f>
        <v>2023</v>
      </c>
    </row>
    <row r="381" spans="1:13">
      <c r="A381" t="s">
        <v>779</v>
      </c>
      <c r="B381" s="1">
        <v>45043</v>
      </c>
      <c r="C381" t="s">
        <v>20</v>
      </c>
      <c r="D381" t="s">
        <v>21</v>
      </c>
      <c r="E381" t="s">
        <v>89</v>
      </c>
      <c r="F381" t="s">
        <v>780</v>
      </c>
      <c r="G381">
        <v>680.47</v>
      </c>
      <c r="H381">
        <v>6</v>
      </c>
      <c r="I381">
        <v>129.68</v>
      </c>
      <c r="J381" t="s">
        <v>29</v>
      </c>
      <c r="K381" s="6">
        <f>tblSales[[#This Row],[Profit]]/tblSales[[#This Row],[Sales]]</f>
        <v>0.1905741619762811</v>
      </c>
      <c r="L381" t="str">
        <f>TEXT(tblSales[[#This Row],[Order Date]],"mmm")</f>
        <v>Apr</v>
      </c>
      <c r="M381">
        <f>YEAR(tblSales[[#This Row],[Order Date]])</f>
        <v>2023</v>
      </c>
    </row>
    <row r="382" spans="1:13">
      <c r="A382" t="s">
        <v>781</v>
      </c>
      <c r="B382" s="1">
        <v>45044</v>
      </c>
      <c r="C382" t="s">
        <v>20</v>
      </c>
      <c r="D382" t="s">
        <v>40</v>
      </c>
      <c r="E382" t="s">
        <v>41</v>
      </c>
      <c r="F382" t="s">
        <v>782</v>
      </c>
      <c r="G382">
        <v>367.1</v>
      </c>
      <c r="H382">
        <v>9</v>
      </c>
      <c r="I382">
        <v>34</v>
      </c>
      <c r="J382" t="s">
        <v>18</v>
      </c>
      <c r="K382" s="6">
        <f>tblSales[[#This Row],[Profit]]/tblSales[[#This Row],[Sales]]</f>
        <v>9.2617815309180049E-2</v>
      </c>
      <c r="L382" t="str">
        <f>TEXT(tblSales[[#This Row],[Order Date]],"mmm")</f>
        <v>Apr</v>
      </c>
      <c r="M382">
        <f>YEAR(tblSales[[#This Row],[Order Date]])</f>
        <v>2023</v>
      </c>
    </row>
    <row r="383" spans="1:13">
      <c r="A383" t="s">
        <v>783</v>
      </c>
      <c r="B383" s="1">
        <v>45045</v>
      </c>
      <c r="C383" t="s">
        <v>33</v>
      </c>
      <c r="D383" t="s">
        <v>73</v>
      </c>
      <c r="E383" t="s">
        <v>84</v>
      </c>
      <c r="F383" t="s">
        <v>784</v>
      </c>
      <c r="G383">
        <v>856.92</v>
      </c>
      <c r="H383">
        <v>7</v>
      </c>
      <c r="I383">
        <v>204.84</v>
      </c>
      <c r="J383" t="s">
        <v>24</v>
      </c>
      <c r="K383" s="6">
        <f>tblSales[[#This Row],[Profit]]/tblSales[[#This Row],[Sales]]</f>
        <v>0.23904215095924941</v>
      </c>
      <c r="L383" t="str">
        <f>TEXT(tblSales[[#This Row],[Order Date]],"mmm")</f>
        <v>Apr</v>
      </c>
      <c r="M383">
        <f>YEAR(tblSales[[#This Row],[Order Date]])</f>
        <v>2023</v>
      </c>
    </row>
    <row r="384" spans="1:13">
      <c r="A384" t="s">
        <v>785</v>
      </c>
      <c r="B384" s="1">
        <v>45046</v>
      </c>
      <c r="C384" t="s">
        <v>20</v>
      </c>
      <c r="D384" t="s">
        <v>40</v>
      </c>
      <c r="E384" t="s">
        <v>41</v>
      </c>
      <c r="F384" t="s">
        <v>786</v>
      </c>
      <c r="G384">
        <v>1336.53</v>
      </c>
      <c r="H384">
        <v>4</v>
      </c>
      <c r="I384">
        <v>225.5</v>
      </c>
      <c r="J384" t="s">
        <v>24</v>
      </c>
      <c r="K384" s="6">
        <f>tblSales[[#This Row],[Profit]]/tblSales[[#This Row],[Sales]]</f>
        <v>0.16872049261894609</v>
      </c>
      <c r="L384" t="str">
        <f>TEXT(tblSales[[#This Row],[Order Date]],"mmm")</f>
        <v>Apr</v>
      </c>
      <c r="M384">
        <f>YEAR(tblSales[[#This Row],[Order Date]])</f>
        <v>2023</v>
      </c>
    </row>
    <row r="385" spans="1:13">
      <c r="A385" t="s">
        <v>787</v>
      </c>
      <c r="B385" s="1">
        <v>45047</v>
      </c>
      <c r="C385" t="s">
        <v>14</v>
      </c>
      <c r="D385" t="s">
        <v>73</v>
      </c>
      <c r="E385" t="s">
        <v>74</v>
      </c>
      <c r="F385" t="s">
        <v>788</v>
      </c>
      <c r="G385">
        <v>810.65</v>
      </c>
      <c r="H385">
        <v>8</v>
      </c>
      <c r="I385">
        <v>44.59</v>
      </c>
      <c r="J385" t="s">
        <v>24</v>
      </c>
      <c r="K385" s="6">
        <f>tblSales[[#This Row],[Profit]]/tblSales[[#This Row],[Sales]]</f>
        <v>5.5005242706470121E-2</v>
      </c>
      <c r="L385" t="str">
        <f>TEXT(tblSales[[#This Row],[Order Date]],"mmm")</f>
        <v>May</v>
      </c>
      <c r="M385">
        <f>YEAR(tblSales[[#This Row],[Order Date]])</f>
        <v>2023</v>
      </c>
    </row>
    <row r="386" spans="1:13">
      <c r="A386" t="s">
        <v>789</v>
      </c>
      <c r="B386" s="1">
        <v>45048</v>
      </c>
      <c r="C386" t="s">
        <v>14</v>
      </c>
      <c r="D386" t="s">
        <v>21</v>
      </c>
      <c r="E386" t="s">
        <v>22</v>
      </c>
      <c r="F386" t="s">
        <v>790</v>
      </c>
      <c r="G386">
        <v>502.44</v>
      </c>
      <c r="H386">
        <v>5</v>
      </c>
      <c r="I386">
        <v>36.79</v>
      </c>
      <c r="J386" t="s">
        <v>18</v>
      </c>
      <c r="K386" s="6">
        <f>tblSales[[#This Row],[Profit]]/tblSales[[#This Row],[Sales]]</f>
        <v>7.3222673354032319E-2</v>
      </c>
      <c r="L386" t="str">
        <f>TEXT(tblSales[[#This Row],[Order Date]],"mmm")</f>
        <v>May</v>
      </c>
      <c r="M386">
        <f>YEAR(tblSales[[#This Row],[Order Date]])</f>
        <v>2023</v>
      </c>
    </row>
    <row r="387" spans="1:13">
      <c r="A387" t="s">
        <v>791</v>
      </c>
      <c r="B387" s="1">
        <v>45049</v>
      </c>
      <c r="C387" t="s">
        <v>14</v>
      </c>
      <c r="D387" t="s">
        <v>15</v>
      </c>
      <c r="E387" t="s">
        <v>79</v>
      </c>
      <c r="F387" t="s">
        <v>792</v>
      </c>
      <c r="G387">
        <v>272.87</v>
      </c>
      <c r="H387">
        <v>6</v>
      </c>
      <c r="I387">
        <v>24.51</v>
      </c>
      <c r="J387" t="s">
        <v>24</v>
      </c>
      <c r="K387" s="6">
        <f>tblSales[[#This Row],[Profit]]/tblSales[[#This Row],[Sales]]</f>
        <v>8.9822992633854959E-2</v>
      </c>
      <c r="L387" t="str">
        <f>TEXT(tblSales[[#This Row],[Order Date]],"mmm")</f>
        <v>May</v>
      </c>
      <c r="M387">
        <f>YEAR(tblSales[[#This Row],[Order Date]])</f>
        <v>2023</v>
      </c>
    </row>
    <row r="388" spans="1:13">
      <c r="A388" t="s">
        <v>793</v>
      </c>
      <c r="B388" s="1">
        <v>45050</v>
      </c>
      <c r="C388" t="s">
        <v>33</v>
      </c>
      <c r="D388" t="s">
        <v>73</v>
      </c>
      <c r="E388" t="s">
        <v>84</v>
      </c>
      <c r="F388" t="s">
        <v>794</v>
      </c>
      <c r="G388">
        <v>252.95</v>
      </c>
      <c r="H388">
        <v>7</v>
      </c>
      <c r="I388">
        <v>29.29</v>
      </c>
      <c r="J388" t="s">
        <v>24</v>
      </c>
      <c r="K388" s="6">
        <f>tblSales[[#This Row],[Profit]]/tblSales[[#This Row],[Sales]]</f>
        <v>0.11579363510575212</v>
      </c>
      <c r="L388" t="str">
        <f>TEXT(tblSales[[#This Row],[Order Date]],"mmm")</f>
        <v>May</v>
      </c>
      <c r="M388">
        <f>YEAR(tblSales[[#This Row],[Order Date]])</f>
        <v>2023</v>
      </c>
    </row>
    <row r="389" spans="1:13">
      <c r="A389" t="s">
        <v>795</v>
      </c>
      <c r="B389" s="1">
        <v>45051</v>
      </c>
      <c r="C389" t="s">
        <v>33</v>
      </c>
      <c r="D389" t="s">
        <v>15</v>
      </c>
      <c r="E389" t="s">
        <v>79</v>
      </c>
      <c r="F389" t="s">
        <v>796</v>
      </c>
      <c r="G389">
        <v>193.53</v>
      </c>
      <c r="H389">
        <v>9</v>
      </c>
      <c r="I389">
        <v>36.47</v>
      </c>
      <c r="J389" t="s">
        <v>24</v>
      </c>
      <c r="K389" s="6">
        <f>tblSales[[#This Row],[Profit]]/tblSales[[#This Row],[Sales]]</f>
        <v>0.18844623572572727</v>
      </c>
      <c r="L389" t="str">
        <f>TEXT(tblSales[[#This Row],[Order Date]],"mmm")</f>
        <v>May</v>
      </c>
      <c r="M389">
        <f>YEAR(tblSales[[#This Row],[Order Date]])</f>
        <v>2023</v>
      </c>
    </row>
    <row r="390" spans="1:13">
      <c r="A390" t="s">
        <v>797</v>
      </c>
      <c r="B390" s="1">
        <v>45052</v>
      </c>
      <c r="C390" t="s">
        <v>33</v>
      </c>
      <c r="D390" t="s">
        <v>26</v>
      </c>
      <c r="E390" t="s">
        <v>49</v>
      </c>
      <c r="F390" t="s">
        <v>798</v>
      </c>
      <c r="G390">
        <v>905.46</v>
      </c>
      <c r="H390">
        <v>4</v>
      </c>
      <c r="I390">
        <v>242.97</v>
      </c>
      <c r="J390" t="s">
        <v>18</v>
      </c>
      <c r="K390" s="6">
        <f>tblSales[[#This Row],[Profit]]/tblSales[[#This Row],[Sales]]</f>
        <v>0.26833874494731957</v>
      </c>
      <c r="L390" t="str">
        <f>TEXT(tblSales[[#This Row],[Order Date]],"mmm")</f>
        <v>May</v>
      </c>
      <c r="M390">
        <f>YEAR(tblSales[[#This Row],[Order Date]])</f>
        <v>2023</v>
      </c>
    </row>
    <row r="391" spans="1:13">
      <c r="A391" t="s">
        <v>799</v>
      </c>
      <c r="B391" s="1">
        <v>45053</v>
      </c>
      <c r="C391" t="s">
        <v>33</v>
      </c>
      <c r="D391" t="s">
        <v>26</v>
      </c>
      <c r="E391" t="s">
        <v>34</v>
      </c>
      <c r="F391" t="s">
        <v>800</v>
      </c>
      <c r="G391">
        <v>1576.83</v>
      </c>
      <c r="H391">
        <v>6</v>
      </c>
      <c r="I391">
        <v>302.19</v>
      </c>
      <c r="J391" t="s">
        <v>18</v>
      </c>
      <c r="K391" s="6">
        <f>tblSales[[#This Row],[Profit]]/tblSales[[#This Row],[Sales]]</f>
        <v>0.19164399459675424</v>
      </c>
      <c r="L391" t="str">
        <f>TEXT(tblSales[[#This Row],[Order Date]],"mmm")</f>
        <v>May</v>
      </c>
      <c r="M391">
        <f>YEAR(tblSales[[#This Row],[Order Date]])</f>
        <v>2023</v>
      </c>
    </row>
    <row r="392" spans="1:13">
      <c r="A392" t="s">
        <v>801</v>
      </c>
      <c r="B392" s="1">
        <v>45054</v>
      </c>
      <c r="C392" t="s">
        <v>39</v>
      </c>
      <c r="D392" t="s">
        <v>73</v>
      </c>
      <c r="E392" t="s">
        <v>164</v>
      </c>
      <c r="F392" t="s">
        <v>802</v>
      </c>
      <c r="G392">
        <v>1862.58</v>
      </c>
      <c r="H392">
        <v>6</v>
      </c>
      <c r="I392">
        <v>473.77</v>
      </c>
      <c r="J392" t="s">
        <v>24</v>
      </c>
      <c r="K392" s="6">
        <f>tblSales[[#This Row],[Profit]]/tblSales[[#This Row],[Sales]]</f>
        <v>0.25436222873648379</v>
      </c>
      <c r="L392" t="str">
        <f>TEXT(tblSales[[#This Row],[Order Date]],"mmm")</f>
        <v>May</v>
      </c>
      <c r="M392">
        <f>YEAR(tblSales[[#This Row],[Order Date]])</f>
        <v>2023</v>
      </c>
    </row>
    <row r="393" spans="1:13">
      <c r="A393" t="s">
        <v>803</v>
      </c>
      <c r="B393" s="1">
        <v>45055</v>
      </c>
      <c r="C393" t="s">
        <v>14</v>
      </c>
      <c r="D393" t="s">
        <v>21</v>
      </c>
      <c r="E393" t="s">
        <v>57</v>
      </c>
      <c r="F393" t="s">
        <v>804</v>
      </c>
      <c r="G393">
        <v>1448.42</v>
      </c>
      <c r="H393">
        <v>3</v>
      </c>
      <c r="I393">
        <v>358.49</v>
      </c>
      <c r="J393" t="s">
        <v>18</v>
      </c>
      <c r="K393" s="6">
        <f>tblSales[[#This Row],[Profit]]/tblSales[[#This Row],[Sales]]</f>
        <v>0.24750417696524488</v>
      </c>
      <c r="L393" t="str">
        <f>TEXT(tblSales[[#This Row],[Order Date]],"mmm")</f>
        <v>May</v>
      </c>
      <c r="M393">
        <f>YEAR(tblSales[[#This Row],[Order Date]])</f>
        <v>2023</v>
      </c>
    </row>
    <row r="394" spans="1:13">
      <c r="A394" t="s">
        <v>805</v>
      </c>
      <c r="B394" s="1">
        <v>45056</v>
      </c>
      <c r="C394" t="s">
        <v>33</v>
      </c>
      <c r="D394" t="s">
        <v>21</v>
      </c>
      <c r="E394" t="s">
        <v>57</v>
      </c>
      <c r="F394" t="s">
        <v>546</v>
      </c>
      <c r="G394">
        <v>658.61</v>
      </c>
      <c r="H394">
        <v>3</v>
      </c>
      <c r="I394">
        <v>61.5</v>
      </c>
      <c r="J394" t="s">
        <v>18</v>
      </c>
      <c r="K394" s="6">
        <f>tblSales[[#This Row],[Profit]]/tblSales[[#This Row],[Sales]]</f>
        <v>9.337847891772065E-2</v>
      </c>
      <c r="L394" t="str">
        <f>TEXT(tblSales[[#This Row],[Order Date]],"mmm")</f>
        <v>May</v>
      </c>
      <c r="M394">
        <f>YEAR(tblSales[[#This Row],[Order Date]])</f>
        <v>2023</v>
      </c>
    </row>
    <row r="395" spans="1:13">
      <c r="A395" t="s">
        <v>806</v>
      </c>
      <c r="B395" s="1">
        <v>45057</v>
      </c>
      <c r="C395" t="s">
        <v>33</v>
      </c>
      <c r="D395" t="s">
        <v>40</v>
      </c>
      <c r="E395" t="s">
        <v>92</v>
      </c>
      <c r="F395" t="s">
        <v>761</v>
      </c>
      <c r="G395">
        <v>705.28</v>
      </c>
      <c r="H395">
        <v>4</v>
      </c>
      <c r="I395">
        <v>136.30000000000001</v>
      </c>
      <c r="J395" t="s">
        <v>29</v>
      </c>
      <c r="K395" s="6">
        <f>tblSales[[#This Row],[Profit]]/tblSales[[#This Row],[Sales]]</f>
        <v>0.19325657894736845</v>
      </c>
      <c r="L395" t="str">
        <f>TEXT(tblSales[[#This Row],[Order Date]],"mmm")</f>
        <v>May</v>
      </c>
      <c r="M395">
        <f>YEAR(tblSales[[#This Row],[Order Date]])</f>
        <v>2023</v>
      </c>
    </row>
    <row r="396" spans="1:13">
      <c r="A396" t="s">
        <v>807</v>
      </c>
      <c r="B396" s="1">
        <v>45058</v>
      </c>
      <c r="C396" t="s">
        <v>14</v>
      </c>
      <c r="D396" t="s">
        <v>21</v>
      </c>
      <c r="E396" t="s">
        <v>89</v>
      </c>
      <c r="F396" t="s">
        <v>808</v>
      </c>
      <c r="G396">
        <v>1158.82</v>
      </c>
      <c r="H396">
        <v>6</v>
      </c>
      <c r="I396">
        <v>148.83000000000001</v>
      </c>
      <c r="J396" t="s">
        <v>24</v>
      </c>
      <c r="K396" s="6">
        <f>tblSales[[#This Row],[Profit]]/tblSales[[#This Row],[Sales]]</f>
        <v>0.1284323708600128</v>
      </c>
      <c r="L396" t="str">
        <f>TEXT(tblSales[[#This Row],[Order Date]],"mmm")</f>
        <v>May</v>
      </c>
      <c r="M396">
        <f>YEAR(tblSales[[#This Row],[Order Date]])</f>
        <v>2023</v>
      </c>
    </row>
    <row r="397" spans="1:13">
      <c r="A397" t="s">
        <v>809</v>
      </c>
      <c r="B397" s="1">
        <v>45059</v>
      </c>
      <c r="C397" t="s">
        <v>39</v>
      </c>
      <c r="D397" t="s">
        <v>40</v>
      </c>
      <c r="E397" t="s">
        <v>41</v>
      </c>
      <c r="F397" t="s">
        <v>810</v>
      </c>
      <c r="G397">
        <v>295.61</v>
      </c>
      <c r="H397">
        <v>6</v>
      </c>
      <c r="I397">
        <v>76.069999999999993</v>
      </c>
      <c r="J397" t="s">
        <v>24</v>
      </c>
      <c r="K397" s="6">
        <f>tblSales[[#This Row],[Profit]]/tblSales[[#This Row],[Sales]]</f>
        <v>0.25733229593044887</v>
      </c>
      <c r="L397" t="str">
        <f>TEXT(tblSales[[#This Row],[Order Date]],"mmm")</f>
        <v>May</v>
      </c>
      <c r="M397">
        <f>YEAR(tblSales[[#This Row],[Order Date]])</f>
        <v>2023</v>
      </c>
    </row>
    <row r="398" spans="1:13">
      <c r="A398" t="s">
        <v>811</v>
      </c>
      <c r="B398" s="1">
        <v>45060</v>
      </c>
      <c r="C398" t="s">
        <v>20</v>
      </c>
      <c r="D398" t="s">
        <v>21</v>
      </c>
      <c r="E398" t="s">
        <v>57</v>
      </c>
      <c r="F398" t="s">
        <v>812</v>
      </c>
      <c r="G398">
        <v>1906.54</v>
      </c>
      <c r="H398">
        <v>6</v>
      </c>
      <c r="I398">
        <v>165.09</v>
      </c>
      <c r="J398" t="s">
        <v>18</v>
      </c>
      <c r="K398" s="6">
        <f>tblSales[[#This Row],[Profit]]/tblSales[[#This Row],[Sales]]</f>
        <v>8.6591416912312355E-2</v>
      </c>
      <c r="L398" t="str">
        <f>TEXT(tblSales[[#This Row],[Order Date]],"mmm")</f>
        <v>May</v>
      </c>
      <c r="M398">
        <f>YEAR(tblSales[[#This Row],[Order Date]])</f>
        <v>2023</v>
      </c>
    </row>
    <row r="399" spans="1:13">
      <c r="A399" t="s">
        <v>813</v>
      </c>
      <c r="B399" s="1">
        <v>45061</v>
      </c>
      <c r="C399" t="s">
        <v>14</v>
      </c>
      <c r="D399" t="s">
        <v>21</v>
      </c>
      <c r="E399" t="s">
        <v>89</v>
      </c>
      <c r="F399" t="s">
        <v>814</v>
      </c>
      <c r="G399">
        <v>966.9</v>
      </c>
      <c r="H399">
        <v>4</v>
      </c>
      <c r="I399">
        <v>81.02</v>
      </c>
      <c r="J399" t="s">
        <v>29</v>
      </c>
      <c r="K399" s="6">
        <f>tblSales[[#This Row],[Profit]]/tblSales[[#This Row],[Sales]]</f>
        <v>8.3793567070017574E-2</v>
      </c>
      <c r="L399" t="str">
        <f>TEXT(tblSales[[#This Row],[Order Date]],"mmm")</f>
        <v>May</v>
      </c>
      <c r="M399">
        <f>YEAR(tblSales[[#This Row],[Order Date]])</f>
        <v>2023</v>
      </c>
    </row>
    <row r="400" spans="1:13">
      <c r="A400" t="s">
        <v>815</v>
      </c>
      <c r="B400" s="1">
        <v>45062</v>
      </c>
      <c r="C400" t="s">
        <v>20</v>
      </c>
      <c r="D400" t="s">
        <v>21</v>
      </c>
      <c r="E400" t="s">
        <v>22</v>
      </c>
      <c r="F400" t="s">
        <v>816</v>
      </c>
      <c r="G400">
        <v>1108.07</v>
      </c>
      <c r="H400">
        <v>4</v>
      </c>
      <c r="I400">
        <v>177.16</v>
      </c>
      <c r="J400" t="s">
        <v>29</v>
      </c>
      <c r="K400" s="6">
        <f>tblSales[[#This Row],[Profit]]/tblSales[[#This Row],[Sales]]</f>
        <v>0.15988159592805509</v>
      </c>
      <c r="L400" t="str">
        <f>TEXT(tblSales[[#This Row],[Order Date]],"mmm")</f>
        <v>May</v>
      </c>
      <c r="M400">
        <f>YEAR(tblSales[[#This Row],[Order Date]])</f>
        <v>2023</v>
      </c>
    </row>
    <row r="401" spans="1:13">
      <c r="A401" t="s">
        <v>817</v>
      </c>
      <c r="B401" s="1">
        <v>45063</v>
      </c>
      <c r="C401" t="s">
        <v>33</v>
      </c>
      <c r="D401" t="s">
        <v>40</v>
      </c>
      <c r="E401" t="s">
        <v>92</v>
      </c>
      <c r="F401" t="s">
        <v>475</v>
      </c>
      <c r="G401">
        <v>20.66</v>
      </c>
      <c r="H401">
        <v>2</v>
      </c>
      <c r="I401">
        <v>4.3899999999999997</v>
      </c>
      <c r="J401" t="s">
        <v>24</v>
      </c>
      <c r="K401" s="6">
        <f>tblSales[[#This Row],[Profit]]/tblSales[[#This Row],[Sales]]</f>
        <v>0.21248789932236203</v>
      </c>
      <c r="L401" t="str">
        <f>TEXT(tblSales[[#This Row],[Order Date]],"mmm")</f>
        <v>May</v>
      </c>
      <c r="M401">
        <f>YEAR(tblSales[[#This Row],[Order Date]])</f>
        <v>2023</v>
      </c>
    </row>
    <row r="402" spans="1:13">
      <c r="A402" t="s">
        <v>818</v>
      </c>
      <c r="B402" s="1">
        <v>45064</v>
      </c>
      <c r="C402" t="s">
        <v>20</v>
      </c>
      <c r="D402" t="s">
        <v>40</v>
      </c>
      <c r="E402" t="s">
        <v>92</v>
      </c>
      <c r="F402" t="s">
        <v>819</v>
      </c>
      <c r="G402">
        <v>141.47</v>
      </c>
      <c r="H402">
        <v>3</v>
      </c>
      <c r="I402">
        <v>13.86</v>
      </c>
      <c r="J402" t="s">
        <v>29</v>
      </c>
      <c r="K402" s="6">
        <f>tblSales[[#This Row],[Profit]]/tblSales[[#This Row],[Sales]]</f>
        <v>9.7971301335972288E-2</v>
      </c>
      <c r="L402" t="str">
        <f>TEXT(tblSales[[#This Row],[Order Date]],"mmm")</f>
        <v>May</v>
      </c>
      <c r="M402">
        <f>YEAR(tblSales[[#This Row],[Order Date]])</f>
        <v>2023</v>
      </c>
    </row>
    <row r="403" spans="1:13">
      <c r="A403" t="s">
        <v>820</v>
      </c>
      <c r="B403" s="1">
        <v>45065</v>
      </c>
      <c r="C403" t="s">
        <v>14</v>
      </c>
      <c r="D403" t="s">
        <v>40</v>
      </c>
      <c r="E403" t="s">
        <v>44</v>
      </c>
      <c r="F403" t="s">
        <v>821</v>
      </c>
      <c r="G403">
        <v>979.51</v>
      </c>
      <c r="H403">
        <v>2</v>
      </c>
      <c r="I403">
        <v>63.12</v>
      </c>
      <c r="J403" t="s">
        <v>24</v>
      </c>
      <c r="K403" s="6">
        <f>tblSales[[#This Row],[Profit]]/tblSales[[#This Row],[Sales]]</f>
        <v>6.4440383457034636E-2</v>
      </c>
      <c r="L403" t="str">
        <f>TEXT(tblSales[[#This Row],[Order Date]],"mmm")</f>
        <v>May</v>
      </c>
      <c r="M403">
        <f>YEAR(tblSales[[#This Row],[Order Date]])</f>
        <v>2023</v>
      </c>
    </row>
    <row r="404" spans="1:13">
      <c r="A404" t="s">
        <v>822</v>
      </c>
      <c r="B404" s="1">
        <v>45066</v>
      </c>
      <c r="C404" t="s">
        <v>14</v>
      </c>
      <c r="D404" t="s">
        <v>21</v>
      </c>
      <c r="E404" t="s">
        <v>89</v>
      </c>
      <c r="F404" t="s">
        <v>823</v>
      </c>
      <c r="G404">
        <v>357.92</v>
      </c>
      <c r="H404">
        <v>5</v>
      </c>
      <c r="I404">
        <v>28.76</v>
      </c>
      <c r="J404" t="s">
        <v>24</v>
      </c>
      <c r="K404" s="6">
        <f>tblSales[[#This Row],[Profit]]/tblSales[[#This Row],[Sales]]</f>
        <v>8.0353151542244081E-2</v>
      </c>
      <c r="L404" t="str">
        <f>TEXT(tblSales[[#This Row],[Order Date]],"mmm")</f>
        <v>May</v>
      </c>
      <c r="M404">
        <f>YEAR(tblSales[[#This Row],[Order Date]])</f>
        <v>2023</v>
      </c>
    </row>
    <row r="405" spans="1:13">
      <c r="A405" t="s">
        <v>824</v>
      </c>
      <c r="B405" s="1">
        <v>45067</v>
      </c>
      <c r="C405" t="s">
        <v>20</v>
      </c>
      <c r="D405" t="s">
        <v>40</v>
      </c>
      <c r="E405" t="s">
        <v>41</v>
      </c>
      <c r="F405" t="s">
        <v>825</v>
      </c>
      <c r="G405">
        <v>371.98</v>
      </c>
      <c r="H405">
        <v>1</v>
      </c>
      <c r="I405">
        <v>65.97</v>
      </c>
      <c r="J405" t="s">
        <v>24</v>
      </c>
      <c r="K405" s="6">
        <f>tblSales[[#This Row],[Profit]]/tblSales[[#This Row],[Sales]]</f>
        <v>0.17734824452927575</v>
      </c>
      <c r="L405" t="str">
        <f>TEXT(tblSales[[#This Row],[Order Date]],"mmm")</f>
        <v>May</v>
      </c>
      <c r="M405">
        <f>YEAR(tblSales[[#This Row],[Order Date]])</f>
        <v>2023</v>
      </c>
    </row>
    <row r="406" spans="1:13">
      <c r="A406" t="s">
        <v>826</v>
      </c>
      <c r="B406" s="1">
        <v>45068</v>
      </c>
      <c r="C406" t="s">
        <v>39</v>
      </c>
      <c r="D406" t="s">
        <v>73</v>
      </c>
      <c r="E406" t="s">
        <v>74</v>
      </c>
      <c r="F406" t="s">
        <v>827</v>
      </c>
      <c r="G406">
        <v>1631.66</v>
      </c>
      <c r="H406">
        <v>7</v>
      </c>
      <c r="I406">
        <v>171.65</v>
      </c>
      <c r="J406" t="s">
        <v>24</v>
      </c>
      <c r="K406" s="6">
        <f>tblSales[[#This Row],[Profit]]/tblSales[[#This Row],[Sales]]</f>
        <v>0.10519961266440313</v>
      </c>
      <c r="L406" t="str">
        <f>TEXT(tblSales[[#This Row],[Order Date]],"mmm")</f>
        <v>May</v>
      </c>
      <c r="M406">
        <f>YEAR(tblSales[[#This Row],[Order Date]])</f>
        <v>2023</v>
      </c>
    </row>
    <row r="407" spans="1:13">
      <c r="A407" t="s">
        <v>828</v>
      </c>
      <c r="B407" s="1">
        <v>45069</v>
      </c>
      <c r="C407" t="s">
        <v>14</v>
      </c>
      <c r="D407" t="s">
        <v>40</v>
      </c>
      <c r="E407" t="s">
        <v>92</v>
      </c>
      <c r="F407" t="s">
        <v>829</v>
      </c>
      <c r="G407">
        <v>1318.33</v>
      </c>
      <c r="H407">
        <v>6</v>
      </c>
      <c r="I407">
        <v>206.35</v>
      </c>
      <c r="J407" t="s">
        <v>18</v>
      </c>
      <c r="K407" s="6">
        <f>tblSales[[#This Row],[Profit]]/tblSales[[#This Row],[Sales]]</f>
        <v>0.15652378387808819</v>
      </c>
      <c r="L407" t="str">
        <f>TEXT(tblSales[[#This Row],[Order Date]],"mmm")</f>
        <v>May</v>
      </c>
      <c r="M407">
        <f>YEAR(tblSales[[#This Row],[Order Date]])</f>
        <v>2023</v>
      </c>
    </row>
    <row r="408" spans="1:13">
      <c r="A408" t="s">
        <v>830</v>
      </c>
      <c r="B408" s="1">
        <v>45070</v>
      </c>
      <c r="C408" t="s">
        <v>20</v>
      </c>
      <c r="D408" t="s">
        <v>15</v>
      </c>
      <c r="E408" t="s">
        <v>16</v>
      </c>
      <c r="F408" t="s">
        <v>156</v>
      </c>
      <c r="G408">
        <v>821.5</v>
      </c>
      <c r="H408">
        <v>3</v>
      </c>
      <c r="I408">
        <v>116.6</v>
      </c>
      <c r="J408" t="s">
        <v>29</v>
      </c>
      <c r="K408" s="6">
        <f>tblSales[[#This Row],[Profit]]/tblSales[[#This Row],[Sales]]</f>
        <v>0.14193548387096774</v>
      </c>
      <c r="L408" t="str">
        <f>TEXT(tblSales[[#This Row],[Order Date]],"mmm")</f>
        <v>May</v>
      </c>
      <c r="M408">
        <f>YEAR(tblSales[[#This Row],[Order Date]])</f>
        <v>2023</v>
      </c>
    </row>
    <row r="409" spans="1:13">
      <c r="A409" t="s">
        <v>831</v>
      </c>
      <c r="B409" s="1">
        <v>45071</v>
      </c>
      <c r="C409" t="s">
        <v>39</v>
      </c>
      <c r="D409" t="s">
        <v>15</v>
      </c>
      <c r="E409" t="s">
        <v>16</v>
      </c>
      <c r="F409" t="s">
        <v>832</v>
      </c>
      <c r="G409">
        <v>370.24</v>
      </c>
      <c r="H409">
        <v>6</v>
      </c>
      <c r="I409">
        <v>107.72</v>
      </c>
      <c r="J409" t="s">
        <v>29</v>
      </c>
      <c r="K409" s="6">
        <f>tblSales[[#This Row],[Profit]]/tblSales[[#This Row],[Sales]]</f>
        <v>0.29094641313742436</v>
      </c>
      <c r="L409" t="str">
        <f>TEXT(tblSales[[#This Row],[Order Date]],"mmm")</f>
        <v>May</v>
      </c>
      <c r="M409">
        <f>YEAR(tblSales[[#This Row],[Order Date]])</f>
        <v>2023</v>
      </c>
    </row>
    <row r="410" spans="1:13">
      <c r="A410" t="s">
        <v>833</v>
      </c>
      <c r="B410" s="1">
        <v>45072</v>
      </c>
      <c r="C410" t="s">
        <v>20</v>
      </c>
      <c r="D410" t="s">
        <v>15</v>
      </c>
      <c r="E410" t="s">
        <v>60</v>
      </c>
      <c r="F410" t="s">
        <v>834</v>
      </c>
      <c r="G410">
        <v>284.93</v>
      </c>
      <c r="H410">
        <v>5</v>
      </c>
      <c r="I410">
        <v>15.61</v>
      </c>
      <c r="J410" t="s">
        <v>29</v>
      </c>
      <c r="K410" s="6">
        <f>tblSales[[#This Row],[Profit]]/tblSales[[#This Row],[Sales]]</f>
        <v>5.4785385884252268E-2</v>
      </c>
      <c r="L410" t="str">
        <f>TEXT(tblSales[[#This Row],[Order Date]],"mmm")</f>
        <v>May</v>
      </c>
      <c r="M410">
        <f>YEAR(tblSales[[#This Row],[Order Date]])</f>
        <v>2023</v>
      </c>
    </row>
    <row r="411" spans="1:13">
      <c r="A411" t="s">
        <v>835</v>
      </c>
      <c r="B411" s="1">
        <v>45073</v>
      </c>
      <c r="C411" t="s">
        <v>20</v>
      </c>
      <c r="D411" t="s">
        <v>21</v>
      </c>
      <c r="E411" t="s">
        <v>89</v>
      </c>
      <c r="F411" t="s">
        <v>836</v>
      </c>
      <c r="G411">
        <v>1525.37</v>
      </c>
      <c r="H411">
        <v>8</v>
      </c>
      <c r="I411">
        <v>280.41000000000003</v>
      </c>
      <c r="J411" t="s">
        <v>18</v>
      </c>
      <c r="K411" s="6">
        <f>tblSales[[#This Row],[Profit]]/tblSales[[#This Row],[Sales]]</f>
        <v>0.18383080826291329</v>
      </c>
      <c r="L411" t="str">
        <f>TEXT(tblSales[[#This Row],[Order Date]],"mmm")</f>
        <v>May</v>
      </c>
      <c r="M411">
        <f>YEAR(tblSales[[#This Row],[Order Date]])</f>
        <v>2023</v>
      </c>
    </row>
    <row r="412" spans="1:13">
      <c r="A412" t="s">
        <v>837</v>
      </c>
      <c r="B412" s="1">
        <v>45074</v>
      </c>
      <c r="C412" t="s">
        <v>39</v>
      </c>
      <c r="D412" t="s">
        <v>73</v>
      </c>
      <c r="E412" t="s">
        <v>164</v>
      </c>
      <c r="F412" t="s">
        <v>561</v>
      </c>
      <c r="G412">
        <v>44</v>
      </c>
      <c r="H412">
        <v>2</v>
      </c>
      <c r="I412">
        <v>9.1199999999999992</v>
      </c>
      <c r="J412" t="s">
        <v>24</v>
      </c>
      <c r="K412" s="6">
        <f>tblSales[[#This Row],[Profit]]/tblSales[[#This Row],[Sales]]</f>
        <v>0.20727272727272725</v>
      </c>
      <c r="L412" t="str">
        <f>TEXT(tblSales[[#This Row],[Order Date]],"mmm")</f>
        <v>May</v>
      </c>
      <c r="M412">
        <f>YEAR(tblSales[[#This Row],[Order Date]])</f>
        <v>2023</v>
      </c>
    </row>
    <row r="413" spans="1:13">
      <c r="A413" t="s">
        <v>838</v>
      </c>
      <c r="B413" s="1">
        <v>45075</v>
      </c>
      <c r="C413" t="s">
        <v>39</v>
      </c>
      <c r="D413" t="s">
        <v>73</v>
      </c>
      <c r="E413" t="s">
        <v>164</v>
      </c>
      <c r="F413" t="s">
        <v>839</v>
      </c>
      <c r="G413">
        <v>147.94</v>
      </c>
      <c r="H413">
        <v>4</v>
      </c>
      <c r="I413">
        <v>21.13</v>
      </c>
      <c r="J413" t="s">
        <v>29</v>
      </c>
      <c r="K413" s="6">
        <f>tblSales[[#This Row],[Profit]]/tblSales[[#This Row],[Sales]]</f>
        <v>0.14282817358388536</v>
      </c>
      <c r="L413" t="str">
        <f>TEXT(tblSales[[#This Row],[Order Date]],"mmm")</f>
        <v>May</v>
      </c>
      <c r="M413">
        <f>YEAR(tblSales[[#This Row],[Order Date]])</f>
        <v>2023</v>
      </c>
    </row>
    <row r="414" spans="1:13">
      <c r="A414" t="s">
        <v>840</v>
      </c>
      <c r="B414" s="1">
        <v>45076</v>
      </c>
      <c r="C414" t="s">
        <v>20</v>
      </c>
      <c r="D414" t="s">
        <v>26</v>
      </c>
      <c r="E414" t="s">
        <v>34</v>
      </c>
      <c r="F414" t="s">
        <v>841</v>
      </c>
      <c r="G414">
        <v>1299.26</v>
      </c>
      <c r="H414">
        <v>5</v>
      </c>
      <c r="I414">
        <v>339.22</v>
      </c>
      <c r="J414" t="s">
        <v>18</v>
      </c>
      <c r="K414" s="6">
        <f>tblSales[[#This Row],[Profit]]/tblSales[[#This Row],[Sales]]</f>
        <v>0.26108708033803862</v>
      </c>
      <c r="L414" t="str">
        <f>TEXT(tblSales[[#This Row],[Order Date]],"mmm")</f>
        <v>May</v>
      </c>
      <c r="M414">
        <f>YEAR(tblSales[[#This Row],[Order Date]])</f>
        <v>2023</v>
      </c>
    </row>
    <row r="415" spans="1:13">
      <c r="A415" t="s">
        <v>842</v>
      </c>
      <c r="B415" s="1">
        <v>45077</v>
      </c>
      <c r="C415" t="s">
        <v>14</v>
      </c>
      <c r="D415" t="s">
        <v>26</v>
      </c>
      <c r="E415" t="s">
        <v>27</v>
      </c>
      <c r="F415" t="s">
        <v>843</v>
      </c>
      <c r="G415">
        <v>986.72</v>
      </c>
      <c r="H415">
        <v>4</v>
      </c>
      <c r="I415">
        <v>262.63</v>
      </c>
      <c r="J415" t="s">
        <v>29</v>
      </c>
      <c r="K415" s="6">
        <f>tblSales[[#This Row],[Profit]]/tblSales[[#This Row],[Sales]]</f>
        <v>0.26616466677476891</v>
      </c>
      <c r="L415" t="str">
        <f>TEXT(tblSales[[#This Row],[Order Date]],"mmm")</f>
        <v>May</v>
      </c>
      <c r="M415">
        <f>YEAR(tblSales[[#This Row],[Order Date]])</f>
        <v>2023</v>
      </c>
    </row>
    <row r="416" spans="1:13">
      <c r="A416" t="s">
        <v>844</v>
      </c>
      <c r="B416" s="1">
        <v>45078</v>
      </c>
      <c r="C416" t="s">
        <v>20</v>
      </c>
      <c r="D416" t="s">
        <v>26</v>
      </c>
      <c r="E416" t="s">
        <v>34</v>
      </c>
      <c r="F416" t="s">
        <v>845</v>
      </c>
      <c r="G416">
        <v>962.52</v>
      </c>
      <c r="H416">
        <v>9</v>
      </c>
      <c r="I416">
        <v>195.89</v>
      </c>
      <c r="J416" t="s">
        <v>18</v>
      </c>
      <c r="K416" s="6">
        <f>tblSales[[#This Row],[Profit]]/tblSales[[#This Row],[Sales]]</f>
        <v>0.20351784897976144</v>
      </c>
      <c r="L416" t="str">
        <f>TEXT(tblSales[[#This Row],[Order Date]],"mmm")</f>
        <v>Jun</v>
      </c>
      <c r="M416">
        <f>YEAR(tblSales[[#This Row],[Order Date]])</f>
        <v>2023</v>
      </c>
    </row>
    <row r="417" spans="1:13">
      <c r="A417" t="s">
        <v>846</v>
      </c>
      <c r="B417" s="1">
        <v>45079</v>
      </c>
      <c r="C417" t="s">
        <v>39</v>
      </c>
      <c r="D417" t="s">
        <v>15</v>
      </c>
      <c r="E417" t="s">
        <v>79</v>
      </c>
      <c r="F417" t="s">
        <v>847</v>
      </c>
      <c r="G417">
        <v>1574.33</v>
      </c>
      <c r="H417">
        <v>1</v>
      </c>
      <c r="I417">
        <v>454.72</v>
      </c>
      <c r="J417" t="s">
        <v>29</v>
      </c>
      <c r="K417" s="6">
        <f>tblSales[[#This Row],[Profit]]/tblSales[[#This Row],[Sales]]</f>
        <v>0.28883398016934192</v>
      </c>
      <c r="L417" t="str">
        <f>TEXT(tblSales[[#This Row],[Order Date]],"mmm")</f>
        <v>Jun</v>
      </c>
      <c r="M417">
        <f>YEAR(tblSales[[#This Row],[Order Date]])</f>
        <v>2023</v>
      </c>
    </row>
    <row r="418" spans="1:13">
      <c r="A418" t="s">
        <v>848</v>
      </c>
      <c r="B418" s="1">
        <v>45080</v>
      </c>
      <c r="C418" t="s">
        <v>33</v>
      </c>
      <c r="D418" t="s">
        <v>73</v>
      </c>
      <c r="E418" t="s">
        <v>84</v>
      </c>
      <c r="F418" t="s">
        <v>683</v>
      </c>
      <c r="G418">
        <v>644.51</v>
      </c>
      <c r="H418">
        <v>1</v>
      </c>
      <c r="I418">
        <v>162.56</v>
      </c>
      <c r="J418" t="s">
        <v>18</v>
      </c>
      <c r="K418" s="6">
        <f>tblSales[[#This Row],[Profit]]/tblSales[[#This Row],[Sales]]</f>
        <v>0.25222261873361157</v>
      </c>
      <c r="L418" t="str">
        <f>TEXT(tblSales[[#This Row],[Order Date]],"mmm")</f>
        <v>Jun</v>
      </c>
      <c r="M418">
        <f>YEAR(tblSales[[#This Row],[Order Date]])</f>
        <v>2023</v>
      </c>
    </row>
    <row r="419" spans="1:13">
      <c r="A419" t="s">
        <v>849</v>
      </c>
      <c r="B419" s="1">
        <v>45081</v>
      </c>
      <c r="C419" t="s">
        <v>14</v>
      </c>
      <c r="D419" t="s">
        <v>21</v>
      </c>
      <c r="E419" t="s">
        <v>57</v>
      </c>
      <c r="F419" t="s">
        <v>591</v>
      </c>
      <c r="G419">
        <v>573.15</v>
      </c>
      <c r="H419">
        <v>2</v>
      </c>
      <c r="I419">
        <v>34.159999999999997</v>
      </c>
      <c r="J419" t="s">
        <v>18</v>
      </c>
      <c r="K419" s="6">
        <f>tblSales[[#This Row],[Profit]]/tblSales[[#This Row],[Sales]]</f>
        <v>5.9600453633429293E-2</v>
      </c>
      <c r="L419" t="str">
        <f>TEXT(tblSales[[#This Row],[Order Date]],"mmm")</f>
        <v>Jun</v>
      </c>
      <c r="M419">
        <f>YEAR(tblSales[[#This Row],[Order Date]])</f>
        <v>2023</v>
      </c>
    </row>
    <row r="420" spans="1:13">
      <c r="A420" t="s">
        <v>850</v>
      </c>
      <c r="B420" s="1">
        <v>45082</v>
      </c>
      <c r="C420" t="s">
        <v>14</v>
      </c>
      <c r="D420" t="s">
        <v>26</v>
      </c>
      <c r="E420" t="s">
        <v>27</v>
      </c>
      <c r="F420" t="s">
        <v>851</v>
      </c>
      <c r="G420">
        <v>1653.76</v>
      </c>
      <c r="H420">
        <v>7</v>
      </c>
      <c r="I420">
        <v>355.29</v>
      </c>
      <c r="J420" t="s">
        <v>18</v>
      </c>
      <c r="K420" s="6">
        <f>tblSales[[#This Row],[Profit]]/tblSales[[#This Row],[Sales]]</f>
        <v>0.21483770317337464</v>
      </c>
      <c r="L420" t="str">
        <f>TEXT(tblSales[[#This Row],[Order Date]],"mmm")</f>
        <v>Jun</v>
      </c>
      <c r="M420">
        <f>YEAR(tblSales[[#This Row],[Order Date]])</f>
        <v>2023</v>
      </c>
    </row>
    <row r="421" spans="1:13">
      <c r="A421" t="s">
        <v>852</v>
      </c>
      <c r="B421" s="1">
        <v>45083</v>
      </c>
      <c r="C421" t="s">
        <v>14</v>
      </c>
      <c r="D421" t="s">
        <v>73</v>
      </c>
      <c r="E421" t="s">
        <v>74</v>
      </c>
      <c r="F421" t="s">
        <v>853</v>
      </c>
      <c r="G421">
        <v>1235.5899999999999</v>
      </c>
      <c r="H421">
        <v>7</v>
      </c>
      <c r="I421">
        <v>221.91</v>
      </c>
      <c r="J421" t="s">
        <v>18</v>
      </c>
      <c r="K421" s="6">
        <f>tblSales[[#This Row],[Profit]]/tblSales[[#This Row],[Sales]]</f>
        <v>0.17959841047596695</v>
      </c>
      <c r="L421" t="str">
        <f>TEXT(tblSales[[#This Row],[Order Date]],"mmm")</f>
        <v>Jun</v>
      </c>
      <c r="M421">
        <f>YEAR(tblSales[[#This Row],[Order Date]])</f>
        <v>2023</v>
      </c>
    </row>
    <row r="422" spans="1:13">
      <c r="A422" t="s">
        <v>854</v>
      </c>
      <c r="B422" s="1">
        <v>45084</v>
      </c>
      <c r="C422" t="s">
        <v>14</v>
      </c>
      <c r="D422" t="s">
        <v>40</v>
      </c>
      <c r="E422" t="s">
        <v>92</v>
      </c>
      <c r="F422" t="s">
        <v>855</v>
      </c>
      <c r="G422">
        <v>1480.12</v>
      </c>
      <c r="H422">
        <v>1</v>
      </c>
      <c r="I422">
        <v>238.03</v>
      </c>
      <c r="J422" t="s">
        <v>24</v>
      </c>
      <c r="K422" s="6">
        <f>tblSales[[#This Row],[Profit]]/tblSales[[#This Row],[Sales]]</f>
        <v>0.16081804178039619</v>
      </c>
      <c r="L422" t="str">
        <f>TEXT(tblSales[[#This Row],[Order Date]],"mmm")</f>
        <v>Jun</v>
      </c>
      <c r="M422">
        <f>YEAR(tblSales[[#This Row],[Order Date]])</f>
        <v>2023</v>
      </c>
    </row>
    <row r="423" spans="1:13">
      <c r="A423" t="s">
        <v>856</v>
      </c>
      <c r="B423" s="1">
        <v>45085</v>
      </c>
      <c r="C423" t="s">
        <v>39</v>
      </c>
      <c r="D423" t="s">
        <v>15</v>
      </c>
      <c r="E423" t="s">
        <v>79</v>
      </c>
      <c r="F423" t="s">
        <v>857</v>
      </c>
      <c r="G423">
        <v>95.28</v>
      </c>
      <c r="H423">
        <v>7</v>
      </c>
      <c r="I423">
        <v>21.83</v>
      </c>
      <c r="J423" t="s">
        <v>29</v>
      </c>
      <c r="K423" s="6">
        <f>tblSales[[#This Row],[Profit]]/tblSales[[#This Row],[Sales]]</f>
        <v>0.2291141897565071</v>
      </c>
      <c r="L423" t="str">
        <f>TEXT(tblSales[[#This Row],[Order Date]],"mmm")</f>
        <v>Jun</v>
      </c>
      <c r="M423">
        <f>YEAR(tblSales[[#This Row],[Order Date]])</f>
        <v>2023</v>
      </c>
    </row>
    <row r="424" spans="1:13">
      <c r="A424" t="s">
        <v>858</v>
      </c>
      <c r="B424" s="1">
        <v>45086</v>
      </c>
      <c r="C424" t="s">
        <v>14</v>
      </c>
      <c r="D424" t="s">
        <v>15</v>
      </c>
      <c r="E424" t="s">
        <v>60</v>
      </c>
      <c r="F424" t="s">
        <v>859</v>
      </c>
      <c r="G424">
        <v>161.09</v>
      </c>
      <c r="H424">
        <v>8</v>
      </c>
      <c r="I424">
        <v>9.49</v>
      </c>
      <c r="J424" t="s">
        <v>18</v>
      </c>
      <c r="K424" s="6">
        <f>tblSales[[#This Row],[Profit]]/tblSales[[#This Row],[Sales]]</f>
        <v>5.8911167670246449E-2</v>
      </c>
      <c r="L424" t="str">
        <f>TEXT(tblSales[[#This Row],[Order Date]],"mmm")</f>
        <v>Jun</v>
      </c>
      <c r="M424">
        <f>YEAR(tblSales[[#This Row],[Order Date]])</f>
        <v>2023</v>
      </c>
    </row>
    <row r="425" spans="1:13">
      <c r="A425" t="s">
        <v>860</v>
      </c>
      <c r="B425" s="1">
        <v>45087</v>
      </c>
      <c r="C425" t="s">
        <v>14</v>
      </c>
      <c r="D425" t="s">
        <v>15</v>
      </c>
      <c r="E425" t="s">
        <v>16</v>
      </c>
      <c r="F425" t="s">
        <v>861</v>
      </c>
      <c r="G425">
        <v>787.44</v>
      </c>
      <c r="H425">
        <v>4</v>
      </c>
      <c r="I425">
        <v>108.21</v>
      </c>
      <c r="J425" t="s">
        <v>18</v>
      </c>
      <c r="K425" s="6">
        <f>tblSales[[#This Row],[Profit]]/tblSales[[#This Row],[Sales]]</f>
        <v>0.13741999390429746</v>
      </c>
      <c r="L425" t="str">
        <f>TEXT(tblSales[[#This Row],[Order Date]],"mmm")</f>
        <v>Jun</v>
      </c>
      <c r="M425">
        <f>YEAR(tblSales[[#This Row],[Order Date]])</f>
        <v>2023</v>
      </c>
    </row>
    <row r="426" spans="1:13">
      <c r="A426" t="s">
        <v>862</v>
      </c>
      <c r="B426" s="1">
        <v>45088</v>
      </c>
      <c r="C426" t="s">
        <v>20</v>
      </c>
      <c r="D426" t="s">
        <v>15</v>
      </c>
      <c r="E426" t="s">
        <v>60</v>
      </c>
      <c r="F426" t="s">
        <v>863</v>
      </c>
      <c r="G426">
        <v>1572.01</v>
      </c>
      <c r="H426">
        <v>3</v>
      </c>
      <c r="I426">
        <v>147.03</v>
      </c>
      <c r="J426" t="s">
        <v>18</v>
      </c>
      <c r="K426" s="6">
        <f>tblSales[[#This Row],[Profit]]/tblSales[[#This Row],[Sales]]</f>
        <v>9.3529939376975971E-2</v>
      </c>
      <c r="L426" t="str">
        <f>TEXT(tblSales[[#This Row],[Order Date]],"mmm")</f>
        <v>Jun</v>
      </c>
      <c r="M426">
        <f>YEAR(tblSales[[#This Row],[Order Date]])</f>
        <v>2023</v>
      </c>
    </row>
    <row r="427" spans="1:13">
      <c r="A427" t="s">
        <v>864</v>
      </c>
      <c r="B427" s="1">
        <v>45089</v>
      </c>
      <c r="C427" t="s">
        <v>14</v>
      </c>
      <c r="D427" t="s">
        <v>40</v>
      </c>
      <c r="E427" t="s">
        <v>41</v>
      </c>
      <c r="F427" t="s">
        <v>865</v>
      </c>
      <c r="G427">
        <v>1327.4</v>
      </c>
      <c r="H427">
        <v>8</v>
      </c>
      <c r="I427">
        <v>154.33000000000001</v>
      </c>
      <c r="J427" t="s">
        <v>18</v>
      </c>
      <c r="K427" s="6">
        <f>tblSales[[#This Row],[Profit]]/tblSales[[#This Row],[Sales]]</f>
        <v>0.11626487871026066</v>
      </c>
      <c r="L427" t="str">
        <f>TEXT(tblSales[[#This Row],[Order Date]],"mmm")</f>
        <v>Jun</v>
      </c>
      <c r="M427">
        <f>YEAR(tblSales[[#This Row],[Order Date]])</f>
        <v>2023</v>
      </c>
    </row>
    <row r="428" spans="1:13">
      <c r="A428" t="s">
        <v>866</v>
      </c>
      <c r="B428" s="1">
        <v>45090</v>
      </c>
      <c r="C428" t="s">
        <v>39</v>
      </c>
      <c r="D428" t="s">
        <v>15</v>
      </c>
      <c r="E428" t="s">
        <v>79</v>
      </c>
      <c r="F428" t="s">
        <v>867</v>
      </c>
      <c r="G428">
        <v>182.7</v>
      </c>
      <c r="H428">
        <v>1</v>
      </c>
      <c r="I428">
        <v>22.63</v>
      </c>
      <c r="J428" t="s">
        <v>18</v>
      </c>
      <c r="K428" s="6">
        <f>tblSales[[#This Row],[Profit]]/tblSales[[#This Row],[Sales]]</f>
        <v>0.12386425834701698</v>
      </c>
      <c r="L428" t="str">
        <f>TEXT(tblSales[[#This Row],[Order Date]],"mmm")</f>
        <v>Jun</v>
      </c>
      <c r="M428">
        <f>YEAR(tblSales[[#This Row],[Order Date]])</f>
        <v>2023</v>
      </c>
    </row>
    <row r="429" spans="1:13">
      <c r="A429" t="s">
        <v>868</v>
      </c>
      <c r="B429" s="1">
        <v>45091</v>
      </c>
      <c r="C429" t="s">
        <v>33</v>
      </c>
      <c r="D429" t="s">
        <v>40</v>
      </c>
      <c r="E429" t="s">
        <v>41</v>
      </c>
      <c r="F429" t="s">
        <v>869</v>
      </c>
      <c r="G429">
        <v>1952.46</v>
      </c>
      <c r="H429">
        <v>2</v>
      </c>
      <c r="I429">
        <v>102.71</v>
      </c>
      <c r="J429" t="s">
        <v>18</v>
      </c>
      <c r="K429" s="6">
        <f>tblSales[[#This Row],[Profit]]/tblSales[[#This Row],[Sales]]</f>
        <v>5.2605431097179967E-2</v>
      </c>
      <c r="L429" t="str">
        <f>TEXT(tblSales[[#This Row],[Order Date]],"mmm")</f>
        <v>Jun</v>
      </c>
      <c r="M429">
        <f>YEAR(tblSales[[#This Row],[Order Date]])</f>
        <v>2023</v>
      </c>
    </row>
    <row r="430" spans="1:13">
      <c r="A430" t="s">
        <v>870</v>
      </c>
      <c r="B430" s="1">
        <v>45092</v>
      </c>
      <c r="C430" t="s">
        <v>39</v>
      </c>
      <c r="D430" t="s">
        <v>40</v>
      </c>
      <c r="E430" t="s">
        <v>92</v>
      </c>
      <c r="F430" t="s">
        <v>871</v>
      </c>
      <c r="G430">
        <v>1553.77</v>
      </c>
      <c r="H430">
        <v>9</v>
      </c>
      <c r="I430">
        <v>450.53</v>
      </c>
      <c r="J430" t="s">
        <v>29</v>
      </c>
      <c r="K430" s="6">
        <f>tblSales[[#This Row],[Profit]]/tblSales[[#This Row],[Sales]]</f>
        <v>0.28995926037959285</v>
      </c>
      <c r="L430" t="str">
        <f>TEXT(tblSales[[#This Row],[Order Date]],"mmm")</f>
        <v>Jun</v>
      </c>
      <c r="M430">
        <f>YEAR(tblSales[[#This Row],[Order Date]])</f>
        <v>2023</v>
      </c>
    </row>
    <row r="431" spans="1:13">
      <c r="A431" t="s">
        <v>872</v>
      </c>
      <c r="B431" s="1">
        <v>45093</v>
      </c>
      <c r="C431" t="s">
        <v>20</v>
      </c>
      <c r="D431" t="s">
        <v>15</v>
      </c>
      <c r="E431" t="s">
        <v>52</v>
      </c>
      <c r="F431" t="s">
        <v>873</v>
      </c>
      <c r="G431">
        <v>1793.71</v>
      </c>
      <c r="H431">
        <v>5</v>
      </c>
      <c r="I431">
        <v>145.84</v>
      </c>
      <c r="J431" t="s">
        <v>18</v>
      </c>
      <c r="K431" s="6">
        <f>tblSales[[#This Row],[Profit]]/tblSales[[#This Row],[Sales]]</f>
        <v>8.1306342719837651E-2</v>
      </c>
      <c r="L431" t="str">
        <f>TEXT(tblSales[[#This Row],[Order Date]],"mmm")</f>
        <v>Jun</v>
      </c>
      <c r="M431">
        <f>YEAR(tblSales[[#This Row],[Order Date]])</f>
        <v>2023</v>
      </c>
    </row>
    <row r="432" spans="1:13">
      <c r="A432" t="s">
        <v>874</v>
      </c>
      <c r="B432" s="1">
        <v>45094</v>
      </c>
      <c r="C432" t="s">
        <v>33</v>
      </c>
      <c r="D432" t="s">
        <v>73</v>
      </c>
      <c r="E432" t="s">
        <v>74</v>
      </c>
      <c r="F432" t="s">
        <v>875</v>
      </c>
      <c r="G432">
        <v>1211.73</v>
      </c>
      <c r="H432">
        <v>5</v>
      </c>
      <c r="I432">
        <v>339.37</v>
      </c>
      <c r="J432" t="s">
        <v>24</v>
      </c>
      <c r="K432" s="6">
        <f>tblSales[[#This Row],[Profit]]/tblSales[[#This Row],[Sales]]</f>
        <v>0.28007064279996369</v>
      </c>
      <c r="L432" t="str">
        <f>TEXT(tblSales[[#This Row],[Order Date]],"mmm")</f>
        <v>Jun</v>
      </c>
      <c r="M432">
        <f>YEAR(tblSales[[#This Row],[Order Date]])</f>
        <v>2023</v>
      </c>
    </row>
    <row r="433" spans="1:13">
      <c r="A433" t="s">
        <v>876</v>
      </c>
      <c r="B433" s="1">
        <v>45095</v>
      </c>
      <c r="C433" t="s">
        <v>14</v>
      </c>
      <c r="D433" t="s">
        <v>73</v>
      </c>
      <c r="E433" t="s">
        <v>84</v>
      </c>
      <c r="F433" t="s">
        <v>877</v>
      </c>
      <c r="G433">
        <v>1319.83</v>
      </c>
      <c r="H433">
        <v>1</v>
      </c>
      <c r="I433">
        <v>372.22</v>
      </c>
      <c r="J433" t="s">
        <v>18</v>
      </c>
      <c r="K433" s="6">
        <f>tblSales[[#This Row],[Profit]]/tblSales[[#This Row],[Sales]]</f>
        <v>0.2820211693930279</v>
      </c>
      <c r="L433" t="str">
        <f>TEXT(tblSales[[#This Row],[Order Date]],"mmm")</f>
        <v>Jun</v>
      </c>
      <c r="M433">
        <f>YEAR(tblSales[[#This Row],[Order Date]])</f>
        <v>2023</v>
      </c>
    </row>
    <row r="434" spans="1:13">
      <c r="A434" t="s">
        <v>878</v>
      </c>
      <c r="B434" s="1">
        <v>45096</v>
      </c>
      <c r="C434" t="s">
        <v>20</v>
      </c>
      <c r="D434" t="s">
        <v>73</v>
      </c>
      <c r="E434" t="s">
        <v>84</v>
      </c>
      <c r="F434" t="s">
        <v>879</v>
      </c>
      <c r="G434">
        <v>764.47</v>
      </c>
      <c r="H434">
        <v>9</v>
      </c>
      <c r="I434">
        <v>69.510000000000005</v>
      </c>
      <c r="J434" t="s">
        <v>24</v>
      </c>
      <c r="K434" s="6">
        <f>tblSales[[#This Row],[Profit]]/tblSales[[#This Row],[Sales]]</f>
        <v>9.0925739401153741E-2</v>
      </c>
      <c r="L434" t="str">
        <f>TEXT(tblSales[[#This Row],[Order Date]],"mmm")</f>
        <v>Jun</v>
      </c>
      <c r="M434">
        <f>YEAR(tblSales[[#This Row],[Order Date]])</f>
        <v>2023</v>
      </c>
    </row>
    <row r="435" spans="1:13">
      <c r="A435" t="s">
        <v>880</v>
      </c>
      <c r="B435" s="1">
        <v>45097</v>
      </c>
      <c r="C435" t="s">
        <v>20</v>
      </c>
      <c r="D435" t="s">
        <v>40</v>
      </c>
      <c r="E435" t="s">
        <v>92</v>
      </c>
      <c r="F435" t="s">
        <v>881</v>
      </c>
      <c r="G435">
        <v>410.99</v>
      </c>
      <c r="H435">
        <v>1</v>
      </c>
      <c r="I435">
        <v>86.9</v>
      </c>
      <c r="J435" t="s">
        <v>18</v>
      </c>
      <c r="K435" s="6">
        <f>tblSales[[#This Row],[Profit]]/tblSales[[#This Row],[Sales]]</f>
        <v>0.21144066765614736</v>
      </c>
      <c r="L435" t="str">
        <f>TEXT(tblSales[[#This Row],[Order Date]],"mmm")</f>
        <v>Jun</v>
      </c>
      <c r="M435">
        <f>YEAR(tblSales[[#This Row],[Order Date]])</f>
        <v>2023</v>
      </c>
    </row>
    <row r="436" spans="1:13">
      <c r="A436" t="s">
        <v>882</v>
      </c>
      <c r="B436" s="1">
        <v>45098</v>
      </c>
      <c r="C436" t="s">
        <v>20</v>
      </c>
      <c r="D436" t="s">
        <v>73</v>
      </c>
      <c r="E436" t="s">
        <v>84</v>
      </c>
      <c r="F436" t="s">
        <v>877</v>
      </c>
      <c r="G436">
        <v>647.51</v>
      </c>
      <c r="H436">
        <v>7</v>
      </c>
      <c r="I436">
        <v>169.41</v>
      </c>
      <c r="J436" t="s">
        <v>24</v>
      </c>
      <c r="K436" s="6">
        <f>tblSales[[#This Row],[Profit]]/tblSales[[#This Row],[Sales]]</f>
        <v>0.26163302497258728</v>
      </c>
      <c r="L436" t="str">
        <f>TEXT(tblSales[[#This Row],[Order Date]],"mmm")</f>
        <v>Jun</v>
      </c>
      <c r="M436">
        <f>YEAR(tblSales[[#This Row],[Order Date]])</f>
        <v>2023</v>
      </c>
    </row>
    <row r="437" spans="1:13">
      <c r="A437" t="s">
        <v>883</v>
      </c>
      <c r="B437" s="1">
        <v>45099</v>
      </c>
      <c r="C437" t="s">
        <v>14</v>
      </c>
      <c r="D437" t="s">
        <v>40</v>
      </c>
      <c r="E437" t="s">
        <v>44</v>
      </c>
      <c r="F437" t="s">
        <v>884</v>
      </c>
      <c r="G437">
        <v>519.44000000000005</v>
      </c>
      <c r="H437">
        <v>5</v>
      </c>
      <c r="I437">
        <v>153.03</v>
      </c>
      <c r="J437" t="s">
        <v>24</v>
      </c>
      <c r="K437" s="6">
        <f>tblSales[[#This Row],[Profit]]/tblSales[[#This Row],[Sales]]</f>
        <v>0.29460572924688122</v>
      </c>
      <c r="L437" t="str">
        <f>TEXT(tblSales[[#This Row],[Order Date]],"mmm")</f>
        <v>Jun</v>
      </c>
      <c r="M437">
        <f>YEAR(tblSales[[#This Row],[Order Date]])</f>
        <v>2023</v>
      </c>
    </row>
    <row r="438" spans="1:13">
      <c r="A438" t="s">
        <v>885</v>
      </c>
      <c r="B438" s="1">
        <v>45100</v>
      </c>
      <c r="C438" t="s">
        <v>14</v>
      </c>
      <c r="D438" t="s">
        <v>26</v>
      </c>
      <c r="E438" t="s">
        <v>34</v>
      </c>
      <c r="F438" t="s">
        <v>886</v>
      </c>
      <c r="G438">
        <v>1124.47</v>
      </c>
      <c r="H438">
        <v>7</v>
      </c>
      <c r="I438">
        <v>240.68</v>
      </c>
      <c r="J438" t="s">
        <v>24</v>
      </c>
      <c r="K438" s="6">
        <f>tblSales[[#This Row],[Profit]]/tblSales[[#This Row],[Sales]]</f>
        <v>0.21403861374692076</v>
      </c>
      <c r="L438" t="str">
        <f>TEXT(tblSales[[#This Row],[Order Date]],"mmm")</f>
        <v>Jun</v>
      </c>
      <c r="M438">
        <f>YEAR(tblSales[[#This Row],[Order Date]])</f>
        <v>2023</v>
      </c>
    </row>
    <row r="439" spans="1:13">
      <c r="A439" t="s">
        <v>887</v>
      </c>
      <c r="B439" s="1">
        <v>45101</v>
      </c>
      <c r="C439" t="s">
        <v>39</v>
      </c>
      <c r="D439" t="s">
        <v>40</v>
      </c>
      <c r="E439" t="s">
        <v>92</v>
      </c>
      <c r="F439" t="s">
        <v>888</v>
      </c>
      <c r="G439">
        <v>1511.31</v>
      </c>
      <c r="H439">
        <v>9</v>
      </c>
      <c r="I439">
        <v>429.74</v>
      </c>
      <c r="J439" t="s">
        <v>18</v>
      </c>
      <c r="K439" s="6">
        <f>tblSales[[#This Row],[Profit]]/tblSales[[#This Row],[Sales]]</f>
        <v>0.28434933931489903</v>
      </c>
      <c r="L439" t="str">
        <f>TEXT(tblSales[[#This Row],[Order Date]],"mmm")</f>
        <v>Jun</v>
      </c>
      <c r="M439">
        <f>YEAR(tblSales[[#This Row],[Order Date]])</f>
        <v>2023</v>
      </c>
    </row>
    <row r="440" spans="1:13">
      <c r="A440" t="s">
        <v>889</v>
      </c>
      <c r="B440" s="1">
        <v>45102</v>
      </c>
      <c r="C440" t="s">
        <v>39</v>
      </c>
      <c r="D440" t="s">
        <v>21</v>
      </c>
      <c r="E440" t="s">
        <v>89</v>
      </c>
      <c r="F440" t="s">
        <v>890</v>
      </c>
      <c r="G440">
        <v>280.82</v>
      </c>
      <c r="H440">
        <v>4</v>
      </c>
      <c r="I440">
        <v>71.45</v>
      </c>
      <c r="J440" t="s">
        <v>18</v>
      </c>
      <c r="K440" s="6">
        <f>tblSales[[#This Row],[Profit]]/tblSales[[#This Row],[Sales]]</f>
        <v>0.25443344491133113</v>
      </c>
      <c r="L440" t="str">
        <f>TEXT(tblSales[[#This Row],[Order Date]],"mmm")</f>
        <v>Jun</v>
      </c>
      <c r="M440">
        <f>YEAR(tblSales[[#This Row],[Order Date]])</f>
        <v>2023</v>
      </c>
    </row>
    <row r="441" spans="1:13">
      <c r="A441" t="s">
        <v>891</v>
      </c>
      <c r="B441" s="1">
        <v>45103</v>
      </c>
      <c r="C441" t="s">
        <v>33</v>
      </c>
      <c r="D441" t="s">
        <v>26</v>
      </c>
      <c r="E441" t="s">
        <v>34</v>
      </c>
      <c r="F441" t="s">
        <v>892</v>
      </c>
      <c r="G441">
        <v>1684.59</v>
      </c>
      <c r="H441">
        <v>6</v>
      </c>
      <c r="I441">
        <v>312.58999999999997</v>
      </c>
      <c r="J441" t="s">
        <v>18</v>
      </c>
      <c r="K441" s="6">
        <f>tblSales[[#This Row],[Profit]]/tblSales[[#This Row],[Sales]]</f>
        <v>0.18555850384960138</v>
      </c>
      <c r="L441" t="str">
        <f>TEXT(tblSales[[#This Row],[Order Date]],"mmm")</f>
        <v>Jun</v>
      </c>
      <c r="M441">
        <f>YEAR(tblSales[[#This Row],[Order Date]])</f>
        <v>2023</v>
      </c>
    </row>
    <row r="442" spans="1:13">
      <c r="A442" t="s">
        <v>893</v>
      </c>
      <c r="B442" s="1">
        <v>45104</v>
      </c>
      <c r="C442" t="s">
        <v>14</v>
      </c>
      <c r="D442" t="s">
        <v>26</v>
      </c>
      <c r="E442" t="s">
        <v>49</v>
      </c>
      <c r="F442" t="s">
        <v>894</v>
      </c>
      <c r="G442">
        <v>1026.55</v>
      </c>
      <c r="H442">
        <v>6</v>
      </c>
      <c r="I442">
        <v>196.33</v>
      </c>
      <c r="J442" t="s">
        <v>18</v>
      </c>
      <c r="K442" s="6">
        <f>tblSales[[#This Row],[Profit]]/tblSales[[#This Row],[Sales]]</f>
        <v>0.19125225269105259</v>
      </c>
      <c r="L442" t="str">
        <f>TEXT(tblSales[[#This Row],[Order Date]],"mmm")</f>
        <v>Jun</v>
      </c>
      <c r="M442">
        <f>YEAR(tblSales[[#This Row],[Order Date]])</f>
        <v>2023</v>
      </c>
    </row>
    <row r="443" spans="1:13">
      <c r="A443" t="s">
        <v>895</v>
      </c>
      <c r="B443" s="1">
        <v>45105</v>
      </c>
      <c r="C443" t="s">
        <v>39</v>
      </c>
      <c r="D443" t="s">
        <v>40</v>
      </c>
      <c r="E443" t="s">
        <v>44</v>
      </c>
      <c r="F443" t="s">
        <v>896</v>
      </c>
      <c r="G443">
        <v>1749.18</v>
      </c>
      <c r="H443">
        <v>9</v>
      </c>
      <c r="I443">
        <v>420.29</v>
      </c>
      <c r="J443" t="s">
        <v>24</v>
      </c>
      <c r="K443" s="6">
        <f>tblSales[[#This Row],[Profit]]/tblSales[[#This Row],[Sales]]</f>
        <v>0.24027830183285884</v>
      </c>
      <c r="L443" t="str">
        <f>TEXT(tblSales[[#This Row],[Order Date]],"mmm")</f>
        <v>Jun</v>
      </c>
      <c r="M443">
        <f>YEAR(tblSales[[#This Row],[Order Date]])</f>
        <v>2023</v>
      </c>
    </row>
    <row r="444" spans="1:13">
      <c r="A444" t="s">
        <v>897</v>
      </c>
      <c r="B444" s="1">
        <v>45106</v>
      </c>
      <c r="C444" t="s">
        <v>14</v>
      </c>
      <c r="D444" t="s">
        <v>26</v>
      </c>
      <c r="E444" t="s">
        <v>34</v>
      </c>
      <c r="F444" t="s">
        <v>703</v>
      </c>
      <c r="G444">
        <v>933.88</v>
      </c>
      <c r="H444">
        <v>8</v>
      </c>
      <c r="I444">
        <v>104.29</v>
      </c>
      <c r="J444" t="s">
        <v>18</v>
      </c>
      <c r="K444" s="6">
        <f>tblSales[[#This Row],[Profit]]/tblSales[[#This Row],[Sales]]</f>
        <v>0.11167387672934424</v>
      </c>
      <c r="L444" t="str">
        <f>TEXT(tblSales[[#This Row],[Order Date]],"mmm")</f>
        <v>Jun</v>
      </c>
      <c r="M444">
        <f>YEAR(tblSales[[#This Row],[Order Date]])</f>
        <v>2023</v>
      </c>
    </row>
    <row r="445" spans="1:13">
      <c r="A445" t="s">
        <v>898</v>
      </c>
      <c r="B445" s="1">
        <v>45107</v>
      </c>
      <c r="C445" t="s">
        <v>39</v>
      </c>
      <c r="D445" t="s">
        <v>73</v>
      </c>
      <c r="E445" t="s">
        <v>164</v>
      </c>
      <c r="F445" t="s">
        <v>899</v>
      </c>
      <c r="G445">
        <v>1983.78</v>
      </c>
      <c r="H445">
        <v>8</v>
      </c>
      <c r="I445">
        <v>195.38</v>
      </c>
      <c r="J445" t="s">
        <v>18</v>
      </c>
      <c r="K445" s="6">
        <f>tblSales[[#This Row],[Profit]]/tblSales[[#This Row],[Sales]]</f>
        <v>9.8488743711500265E-2</v>
      </c>
      <c r="L445" t="str">
        <f>TEXT(tblSales[[#This Row],[Order Date]],"mmm")</f>
        <v>Jun</v>
      </c>
      <c r="M445">
        <f>YEAR(tblSales[[#This Row],[Order Date]])</f>
        <v>2023</v>
      </c>
    </row>
    <row r="446" spans="1:13">
      <c r="A446" t="s">
        <v>900</v>
      </c>
      <c r="B446" s="1">
        <v>45108</v>
      </c>
      <c r="C446" t="s">
        <v>39</v>
      </c>
      <c r="D446" t="s">
        <v>73</v>
      </c>
      <c r="E446" t="s">
        <v>74</v>
      </c>
      <c r="F446" t="s">
        <v>678</v>
      </c>
      <c r="G446">
        <v>1489.85</v>
      </c>
      <c r="H446">
        <v>7</v>
      </c>
      <c r="I446">
        <v>303.55</v>
      </c>
      <c r="J446" t="s">
        <v>24</v>
      </c>
      <c r="K446" s="6">
        <f>tblSales[[#This Row],[Profit]]/tblSales[[#This Row],[Sales]]</f>
        <v>0.20374534349095549</v>
      </c>
      <c r="L446" t="str">
        <f>TEXT(tblSales[[#This Row],[Order Date]],"mmm")</f>
        <v>Jul</v>
      </c>
      <c r="M446">
        <f>YEAR(tblSales[[#This Row],[Order Date]])</f>
        <v>2023</v>
      </c>
    </row>
    <row r="447" spans="1:13">
      <c r="A447" t="s">
        <v>901</v>
      </c>
      <c r="B447" s="1">
        <v>45109</v>
      </c>
      <c r="C447" t="s">
        <v>14</v>
      </c>
      <c r="D447" t="s">
        <v>26</v>
      </c>
      <c r="E447" t="s">
        <v>49</v>
      </c>
      <c r="F447" t="s">
        <v>710</v>
      </c>
      <c r="G447">
        <v>763.01</v>
      </c>
      <c r="H447">
        <v>9</v>
      </c>
      <c r="I447">
        <v>143.87</v>
      </c>
      <c r="J447" t="s">
        <v>24</v>
      </c>
      <c r="K447" s="6">
        <f>tblSales[[#This Row],[Profit]]/tblSales[[#This Row],[Sales]]</f>
        <v>0.18855585116839885</v>
      </c>
      <c r="L447" t="str">
        <f>TEXT(tblSales[[#This Row],[Order Date]],"mmm")</f>
        <v>Jul</v>
      </c>
      <c r="M447">
        <f>YEAR(tblSales[[#This Row],[Order Date]])</f>
        <v>2023</v>
      </c>
    </row>
    <row r="448" spans="1:13">
      <c r="A448" t="s">
        <v>902</v>
      </c>
      <c r="B448" s="1">
        <v>45110</v>
      </c>
      <c r="C448" t="s">
        <v>20</v>
      </c>
      <c r="D448" t="s">
        <v>15</v>
      </c>
      <c r="E448" t="s">
        <v>79</v>
      </c>
      <c r="F448" t="s">
        <v>903</v>
      </c>
      <c r="G448">
        <v>1683.13</v>
      </c>
      <c r="H448">
        <v>1</v>
      </c>
      <c r="I448">
        <v>88.8</v>
      </c>
      <c r="J448" t="s">
        <v>18</v>
      </c>
      <c r="K448" s="6">
        <f>tblSales[[#This Row],[Profit]]/tblSales[[#This Row],[Sales]]</f>
        <v>5.2758848098483177E-2</v>
      </c>
      <c r="L448" t="str">
        <f>TEXT(tblSales[[#This Row],[Order Date]],"mmm")</f>
        <v>Jul</v>
      </c>
      <c r="M448">
        <f>YEAR(tblSales[[#This Row],[Order Date]])</f>
        <v>2023</v>
      </c>
    </row>
    <row r="449" spans="1:13">
      <c r="A449" t="s">
        <v>904</v>
      </c>
      <c r="B449" s="1">
        <v>45111</v>
      </c>
      <c r="C449" t="s">
        <v>20</v>
      </c>
      <c r="D449" t="s">
        <v>21</v>
      </c>
      <c r="E449" t="s">
        <v>89</v>
      </c>
      <c r="F449" t="s">
        <v>423</v>
      </c>
      <c r="G449">
        <v>1522.18</v>
      </c>
      <c r="H449">
        <v>4</v>
      </c>
      <c r="I449">
        <v>200.52</v>
      </c>
      <c r="J449" t="s">
        <v>24</v>
      </c>
      <c r="K449" s="6">
        <f>tblSales[[#This Row],[Profit]]/tblSales[[#This Row],[Sales]]</f>
        <v>0.13173212103693388</v>
      </c>
      <c r="L449" t="str">
        <f>TEXT(tblSales[[#This Row],[Order Date]],"mmm")</f>
        <v>Jul</v>
      </c>
      <c r="M449">
        <f>YEAR(tblSales[[#This Row],[Order Date]])</f>
        <v>2023</v>
      </c>
    </row>
    <row r="450" spans="1:13">
      <c r="A450" t="s">
        <v>905</v>
      </c>
      <c r="B450" s="1">
        <v>45112</v>
      </c>
      <c r="C450" t="s">
        <v>20</v>
      </c>
      <c r="D450" t="s">
        <v>40</v>
      </c>
      <c r="E450" t="s">
        <v>92</v>
      </c>
      <c r="F450" t="s">
        <v>906</v>
      </c>
      <c r="G450">
        <v>1014.06</v>
      </c>
      <c r="H450">
        <v>4</v>
      </c>
      <c r="I450">
        <v>148.4</v>
      </c>
      <c r="J450" t="s">
        <v>29</v>
      </c>
      <c r="K450" s="6">
        <f>tblSales[[#This Row],[Profit]]/tblSales[[#This Row],[Sales]]</f>
        <v>0.14634242549750509</v>
      </c>
      <c r="L450" t="str">
        <f>TEXT(tblSales[[#This Row],[Order Date]],"mmm")</f>
        <v>Jul</v>
      </c>
      <c r="M450">
        <f>YEAR(tblSales[[#This Row],[Order Date]])</f>
        <v>2023</v>
      </c>
    </row>
    <row r="451" spans="1:13">
      <c r="A451" t="s">
        <v>907</v>
      </c>
      <c r="B451" s="1">
        <v>45113</v>
      </c>
      <c r="C451" t="s">
        <v>39</v>
      </c>
      <c r="D451" t="s">
        <v>73</v>
      </c>
      <c r="E451" t="s">
        <v>164</v>
      </c>
      <c r="F451" t="s">
        <v>908</v>
      </c>
      <c r="G451">
        <v>1565.19</v>
      </c>
      <c r="H451">
        <v>6</v>
      </c>
      <c r="I451">
        <v>310.32</v>
      </c>
      <c r="J451" t="s">
        <v>29</v>
      </c>
      <c r="K451" s="6">
        <f>tblSales[[#This Row],[Profit]]/tblSales[[#This Row],[Sales]]</f>
        <v>0.19826346961071817</v>
      </c>
      <c r="L451" t="str">
        <f>TEXT(tblSales[[#This Row],[Order Date]],"mmm")</f>
        <v>Jul</v>
      </c>
      <c r="M451">
        <f>YEAR(tblSales[[#This Row],[Order Date]])</f>
        <v>2023</v>
      </c>
    </row>
    <row r="452" spans="1:13">
      <c r="A452" t="s">
        <v>909</v>
      </c>
      <c r="B452" s="1">
        <v>45114</v>
      </c>
      <c r="C452" t="s">
        <v>33</v>
      </c>
      <c r="D452" t="s">
        <v>73</v>
      </c>
      <c r="E452" t="s">
        <v>164</v>
      </c>
      <c r="F452" t="s">
        <v>910</v>
      </c>
      <c r="G452">
        <v>1397.32</v>
      </c>
      <c r="H452">
        <v>5</v>
      </c>
      <c r="I452">
        <v>80.02</v>
      </c>
      <c r="J452" t="s">
        <v>29</v>
      </c>
      <c r="K452" s="6">
        <f>tblSales[[#This Row],[Profit]]/tblSales[[#This Row],[Sales]]</f>
        <v>5.7266767812669969E-2</v>
      </c>
      <c r="L452" t="str">
        <f>TEXT(tblSales[[#This Row],[Order Date]],"mmm")</f>
        <v>Jul</v>
      </c>
      <c r="M452">
        <f>YEAR(tblSales[[#This Row],[Order Date]])</f>
        <v>2023</v>
      </c>
    </row>
    <row r="453" spans="1:13">
      <c r="A453" t="s">
        <v>911</v>
      </c>
      <c r="B453" s="1">
        <v>45115</v>
      </c>
      <c r="C453" t="s">
        <v>20</v>
      </c>
      <c r="D453" t="s">
        <v>21</v>
      </c>
      <c r="E453" t="s">
        <v>22</v>
      </c>
      <c r="F453" t="s">
        <v>912</v>
      </c>
      <c r="G453">
        <v>787.59</v>
      </c>
      <c r="H453">
        <v>1</v>
      </c>
      <c r="I453">
        <v>155.19999999999999</v>
      </c>
      <c r="J453" t="s">
        <v>18</v>
      </c>
      <c r="K453" s="6">
        <f>tblSales[[#This Row],[Profit]]/tblSales[[#This Row],[Sales]]</f>
        <v>0.19705684429715967</v>
      </c>
      <c r="L453" t="str">
        <f>TEXT(tblSales[[#This Row],[Order Date]],"mmm")</f>
        <v>Jul</v>
      </c>
      <c r="M453">
        <f>YEAR(tblSales[[#This Row],[Order Date]])</f>
        <v>2023</v>
      </c>
    </row>
    <row r="454" spans="1:13">
      <c r="A454" t="s">
        <v>913</v>
      </c>
      <c r="B454" s="1">
        <v>45116</v>
      </c>
      <c r="C454" t="s">
        <v>39</v>
      </c>
      <c r="D454" t="s">
        <v>73</v>
      </c>
      <c r="E454" t="s">
        <v>74</v>
      </c>
      <c r="F454" t="s">
        <v>914</v>
      </c>
      <c r="G454">
        <v>1452.34</v>
      </c>
      <c r="H454">
        <v>5</v>
      </c>
      <c r="I454">
        <v>283.2</v>
      </c>
      <c r="J454" t="s">
        <v>29</v>
      </c>
      <c r="K454" s="6">
        <f>tblSales[[#This Row],[Profit]]/tblSales[[#This Row],[Sales]]</f>
        <v>0.19499566217276945</v>
      </c>
      <c r="L454" t="str">
        <f>TEXT(tblSales[[#This Row],[Order Date]],"mmm")</f>
        <v>Jul</v>
      </c>
      <c r="M454">
        <f>YEAR(tblSales[[#This Row],[Order Date]])</f>
        <v>2023</v>
      </c>
    </row>
    <row r="455" spans="1:13">
      <c r="A455" t="s">
        <v>915</v>
      </c>
      <c r="B455" s="1">
        <v>45117</v>
      </c>
      <c r="C455" t="s">
        <v>39</v>
      </c>
      <c r="D455" t="s">
        <v>26</v>
      </c>
      <c r="E455" t="s">
        <v>27</v>
      </c>
      <c r="F455" t="s">
        <v>916</v>
      </c>
      <c r="G455">
        <v>124.55</v>
      </c>
      <c r="H455">
        <v>8</v>
      </c>
      <c r="I455">
        <v>27.29</v>
      </c>
      <c r="J455" t="s">
        <v>24</v>
      </c>
      <c r="K455" s="6">
        <f>tblSales[[#This Row],[Profit]]/tblSales[[#This Row],[Sales]]</f>
        <v>0.21910879164993979</v>
      </c>
      <c r="L455" t="str">
        <f>TEXT(tblSales[[#This Row],[Order Date]],"mmm")</f>
        <v>Jul</v>
      </c>
      <c r="M455">
        <f>YEAR(tblSales[[#This Row],[Order Date]])</f>
        <v>2023</v>
      </c>
    </row>
    <row r="456" spans="1:13">
      <c r="A456" t="s">
        <v>917</v>
      </c>
      <c r="B456" s="1">
        <v>45118</v>
      </c>
      <c r="C456" t="s">
        <v>20</v>
      </c>
      <c r="D456" t="s">
        <v>40</v>
      </c>
      <c r="E456" t="s">
        <v>44</v>
      </c>
      <c r="F456" t="s">
        <v>918</v>
      </c>
      <c r="G456">
        <v>554.25</v>
      </c>
      <c r="H456">
        <v>3</v>
      </c>
      <c r="I456">
        <v>96.75</v>
      </c>
      <c r="J456" t="s">
        <v>24</v>
      </c>
      <c r="K456" s="6">
        <f>tblSales[[#This Row],[Profit]]/tblSales[[#This Row],[Sales]]</f>
        <v>0.17456021650879566</v>
      </c>
      <c r="L456" t="str">
        <f>TEXT(tblSales[[#This Row],[Order Date]],"mmm")</f>
        <v>Jul</v>
      </c>
      <c r="M456">
        <f>YEAR(tblSales[[#This Row],[Order Date]])</f>
        <v>2023</v>
      </c>
    </row>
    <row r="457" spans="1:13">
      <c r="A457" t="s">
        <v>919</v>
      </c>
      <c r="B457" s="1">
        <v>45119</v>
      </c>
      <c r="C457" t="s">
        <v>14</v>
      </c>
      <c r="D457" t="s">
        <v>73</v>
      </c>
      <c r="E457" t="s">
        <v>164</v>
      </c>
      <c r="F457" t="s">
        <v>920</v>
      </c>
      <c r="G457">
        <v>1396.92</v>
      </c>
      <c r="H457">
        <v>6</v>
      </c>
      <c r="I457">
        <v>143.13</v>
      </c>
      <c r="J457" t="s">
        <v>18</v>
      </c>
      <c r="K457" s="6">
        <f>tblSales[[#This Row],[Profit]]/tblSales[[#This Row],[Sales]]</f>
        <v>0.10246112876900609</v>
      </c>
      <c r="L457" t="str">
        <f>TEXT(tblSales[[#This Row],[Order Date]],"mmm")</f>
        <v>Jul</v>
      </c>
      <c r="M457">
        <f>YEAR(tblSales[[#This Row],[Order Date]])</f>
        <v>2023</v>
      </c>
    </row>
    <row r="458" spans="1:13">
      <c r="A458" t="s">
        <v>921</v>
      </c>
      <c r="B458" s="1">
        <v>45120</v>
      </c>
      <c r="C458" t="s">
        <v>33</v>
      </c>
      <c r="D458" t="s">
        <v>73</v>
      </c>
      <c r="E458" t="s">
        <v>74</v>
      </c>
      <c r="F458" t="s">
        <v>922</v>
      </c>
      <c r="G458">
        <v>891.59</v>
      </c>
      <c r="H458">
        <v>4</v>
      </c>
      <c r="I458">
        <v>71.86</v>
      </c>
      <c r="J458" t="s">
        <v>24</v>
      </c>
      <c r="K458" s="6">
        <f>tblSales[[#This Row],[Profit]]/tblSales[[#This Row],[Sales]]</f>
        <v>8.0597584091342434E-2</v>
      </c>
      <c r="L458" t="str">
        <f>TEXT(tblSales[[#This Row],[Order Date]],"mmm")</f>
        <v>Jul</v>
      </c>
      <c r="M458">
        <f>YEAR(tblSales[[#This Row],[Order Date]])</f>
        <v>2023</v>
      </c>
    </row>
    <row r="459" spans="1:13">
      <c r="A459" t="s">
        <v>923</v>
      </c>
      <c r="B459" s="1">
        <v>45121</v>
      </c>
      <c r="C459" t="s">
        <v>39</v>
      </c>
      <c r="D459" t="s">
        <v>40</v>
      </c>
      <c r="E459" t="s">
        <v>92</v>
      </c>
      <c r="F459" t="s">
        <v>924</v>
      </c>
      <c r="G459">
        <v>487</v>
      </c>
      <c r="H459">
        <v>4</v>
      </c>
      <c r="I459">
        <v>31.96</v>
      </c>
      <c r="J459" t="s">
        <v>18</v>
      </c>
      <c r="K459" s="6">
        <f>tblSales[[#This Row],[Profit]]/tblSales[[#This Row],[Sales]]</f>
        <v>6.5626283367556465E-2</v>
      </c>
      <c r="L459" t="str">
        <f>TEXT(tblSales[[#This Row],[Order Date]],"mmm")</f>
        <v>Jul</v>
      </c>
      <c r="M459">
        <f>YEAR(tblSales[[#This Row],[Order Date]])</f>
        <v>2023</v>
      </c>
    </row>
    <row r="460" spans="1:13">
      <c r="A460" t="s">
        <v>925</v>
      </c>
      <c r="B460" s="1">
        <v>45122</v>
      </c>
      <c r="C460" t="s">
        <v>33</v>
      </c>
      <c r="D460" t="s">
        <v>40</v>
      </c>
      <c r="E460" t="s">
        <v>44</v>
      </c>
      <c r="F460" t="s">
        <v>926</v>
      </c>
      <c r="G460">
        <v>1996.73</v>
      </c>
      <c r="H460">
        <v>6</v>
      </c>
      <c r="I460">
        <v>420.59</v>
      </c>
      <c r="J460" t="s">
        <v>24</v>
      </c>
      <c r="K460" s="6">
        <f>tblSales[[#This Row],[Profit]]/tblSales[[#This Row],[Sales]]</f>
        <v>0.21063939541149779</v>
      </c>
      <c r="L460" t="str">
        <f>TEXT(tblSales[[#This Row],[Order Date]],"mmm")</f>
        <v>Jul</v>
      </c>
      <c r="M460">
        <f>YEAR(tblSales[[#This Row],[Order Date]])</f>
        <v>2023</v>
      </c>
    </row>
    <row r="461" spans="1:13">
      <c r="A461" t="s">
        <v>927</v>
      </c>
      <c r="B461" s="1">
        <v>45123</v>
      </c>
      <c r="C461" t="s">
        <v>20</v>
      </c>
      <c r="D461" t="s">
        <v>26</v>
      </c>
      <c r="E461" t="s">
        <v>49</v>
      </c>
      <c r="F461" t="s">
        <v>115</v>
      </c>
      <c r="G461">
        <v>1279.6300000000001</v>
      </c>
      <c r="H461">
        <v>6</v>
      </c>
      <c r="I461">
        <v>381.05</v>
      </c>
      <c r="J461" t="s">
        <v>24</v>
      </c>
      <c r="K461" s="6">
        <f>tblSales[[#This Row],[Profit]]/tblSales[[#This Row],[Sales]]</f>
        <v>0.2977813899330275</v>
      </c>
      <c r="L461" t="str">
        <f>TEXT(tblSales[[#This Row],[Order Date]],"mmm")</f>
        <v>Jul</v>
      </c>
      <c r="M461">
        <f>YEAR(tblSales[[#This Row],[Order Date]])</f>
        <v>2023</v>
      </c>
    </row>
    <row r="462" spans="1:13">
      <c r="A462" t="s">
        <v>928</v>
      </c>
      <c r="B462" s="1">
        <v>45124</v>
      </c>
      <c r="C462" t="s">
        <v>33</v>
      </c>
      <c r="D462" t="s">
        <v>73</v>
      </c>
      <c r="E462" t="s">
        <v>164</v>
      </c>
      <c r="F462" t="s">
        <v>929</v>
      </c>
      <c r="G462">
        <v>1485.17</v>
      </c>
      <c r="H462">
        <v>5</v>
      </c>
      <c r="I462">
        <v>142.75</v>
      </c>
      <c r="J462" t="s">
        <v>18</v>
      </c>
      <c r="K462" s="6">
        <f>tblSales[[#This Row],[Profit]]/tblSales[[#This Row],[Sales]]</f>
        <v>9.6116942841560221E-2</v>
      </c>
      <c r="L462" t="str">
        <f>TEXT(tblSales[[#This Row],[Order Date]],"mmm")</f>
        <v>Jul</v>
      </c>
      <c r="M462">
        <f>YEAR(tblSales[[#This Row],[Order Date]])</f>
        <v>2023</v>
      </c>
    </row>
    <row r="463" spans="1:13">
      <c r="A463" t="s">
        <v>930</v>
      </c>
      <c r="B463" s="1">
        <v>45125</v>
      </c>
      <c r="C463" t="s">
        <v>20</v>
      </c>
      <c r="D463" t="s">
        <v>40</v>
      </c>
      <c r="E463" t="s">
        <v>92</v>
      </c>
      <c r="F463" t="s">
        <v>931</v>
      </c>
      <c r="G463">
        <v>682.33</v>
      </c>
      <c r="H463">
        <v>1</v>
      </c>
      <c r="I463">
        <v>134.05000000000001</v>
      </c>
      <c r="J463" t="s">
        <v>29</v>
      </c>
      <c r="K463" s="6">
        <f>tblSales[[#This Row],[Profit]]/tblSales[[#This Row],[Sales]]</f>
        <v>0.19645919130039718</v>
      </c>
      <c r="L463" t="str">
        <f>TEXT(tblSales[[#This Row],[Order Date]],"mmm")</f>
        <v>Jul</v>
      </c>
      <c r="M463">
        <f>YEAR(tblSales[[#This Row],[Order Date]])</f>
        <v>2023</v>
      </c>
    </row>
    <row r="464" spans="1:13">
      <c r="A464" t="s">
        <v>932</v>
      </c>
      <c r="B464" s="1">
        <v>45126</v>
      </c>
      <c r="C464" t="s">
        <v>39</v>
      </c>
      <c r="D464" t="s">
        <v>73</v>
      </c>
      <c r="E464" t="s">
        <v>164</v>
      </c>
      <c r="F464" t="s">
        <v>933</v>
      </c>
      <c r="G464">
        <v>1045.8</v>
      </c>
      <c r="H464">
        <v>3</v>
      </c>
      <c r="I464">
        <v>298.23</v>
      </c>
      <c r="J464" t="s">
        <v>18</v>
      </c>
      <c r="K464" s="6">
        <f>tblSales[[#This Row],[Profit]]/tblSales[[#This Row],[Sales]]</f>
        <v>0.28516924842226049</v>
      </c>
      <c r="L464" t="str">
        <f>TEXT(tblSales[[#This Row],[Order Date]],"mmm")</f>
        <v>Jul</v>
      </c>
      <c r="M464">
        <f>YEAR(tblSales[[#This Row],[Order Date]])</f>
        <v>2023</v>
      </c>
    </row>
    <row r="465" spans="1:13">
      <c r="A465" t="s">
        <v>934</v>
      </c>
      <c r="B465" s="1">
        <v>45127</v>
      </c>
      <c r="C465" t="s">
        <v>39</v>
      </c>
      <c r="D465" t="s">
        <v>40</v>
      </c>
      <c r="E465" t="s">
        <v>41</v>
      </c>
      <c r="F465" t="s">
        <v>935</v>
      </c>
      <c r="G465">
        <v>870.72</v>
      </c>
      <c r="H465">
        <v>3</v>
      </c>
      <c r="I465">
        <v>125.58</v>
      </c>
      <c r="J465" t="s">
        <v>24</v>
      </c>
      <c r="K465" s="6">
        <f>tblSales[[#This Row],[Profit]]/tblSales[[#This Row],[Sales]]</f>
        <v>0.14422546857772878</v>
      </c>
      <c r="L465" t="str">
        <f>TEXT(tblSales[[#This Row],[Order Date]],"mmm")</f>
        <v>Jul</v>
      </c>
      <c r="M465">
        <f>YEAR(tblSales[[#This Row],[Order Date]])</f>
        <v>2023</v>
      </c>
    </row>
    <row r="466" spans="1:13">
      <c r="A466" t="s">
        <v>936</v>
      </c>
      <c r="B466" s="1">
        <v>45128</v>
      </c>
      <c r="C466" t="s">
        <v>33</v>
      </c>
      <c r="D466" t="s">
        <v>40</v>
      </c>
      <c r="E466" t="s">
        <v>41</v>
      </c>
      <c r="F466" t="s">
        <v>937</v>
      </c>
      <c r="G466">
        <v>927.21</v>
      </c>
      <c r="H466">
        <v>5</v>
      </c>
      <c r="I466">
        <v>210.02</v>
      </c>
      <c r="J466" t="s">
        <v>29</v>
      </c>
      <c r="K466" s="6">
        <f>tblSales[[#This Row],[Profit]]/tblSales[[#This Row],[Sales]]</f>
        <v>0.22650747942752991</v>
      </c>
      <c r="L466" t="str">
        <f>TEXT(tblSales[[#This Row],[Order Date]],"mmm")</f>
        <v>Jul</v>
      </c>
      <c r="M466">
        <f>YEAR(tblSales[[#This Row],[Order Date]])</f>
        <v>2023</v>
      </c>
    </row>
    <row r="467" spans="1:13">
      <c r="A467" t="s">
        <v>938</v>
      </c>
      <c r="B467" s="1">
        <v>45129</v>
      </c>
      <c r="C467" t="s">
        <v>20</v>
      </c>
      <c r="D467" t="s">
        <v>73</v>
      </c>
      <c r="E467" t="s">
        <v>84</v>
      </c>
      <c r="F467" t="s">
        <v>939</v>
      </c>
      <c r="G467">
        <v>118.69</v>
      </c>
      <c r="H467">
        <v>7</v>
      </c>
      <c r="I467">
        <v>20.67</v>
      </c>
      <c r="J467" t="s">
        <v>18</v>
      </c>
      <c r="K467" s="6">
        <f>tblSales[[#This Row],[Profit]]/tblSales[[#This Row],[Sales]]</f>
        <v>0.17415115005476453</v>
      </c>
      <c r="L467" t="str">
        <f>TEXT(tblSales[[#This Row],[Order Date]],"mmm")</f>
        <v>Jul</v>
      </c>
      <c r="M467">
        <f>YEAR(tblSales[[#This Row],[Order Date]])</f>
        <v>2023</v>
      </c>
    </row>
    <row r="468" spans="1:13">
      <c r="A468" t="s">
        <v>940</v>
      </c>
      <c r="B468" s="1">
        <v>45130</v>
      </c>
      <c r="C468" t="s">
        <v>14</v>
      </c>
      <c r="D468" t="s">
        <v>21</v>
      </c>
      <c r="E468" t="s">
        <v>57</v>
      </c>
      <c r="F468" t="s">
        <v>767</v>
      </c>
      <c r="G468">
        <v>1464.43</v>
      </c>
      <c r="H468">
        <v>6</v>
      </c>
      <c r="I468">
        <v>94.19</v>
      </c>
      <c r="J468" t="s">
        <v>18</v>
      </c>
      <c r="K468" s="6">
        <f>tblSales[[#This Row],[Profit]]/tblSales[[#This Row],[Sales]]</f>
        <v>6.4318540319441689E-2</v>
      </c>
      <c r="L468" t="str">
        <f>TEXT(tblSales[[#This Row],[Order Date]],"mmm")</f>
        <v>Jul</v>
      </c>
      <c r="M468">
        <f>YEAR(tblSales[[#This Row],[Order Date]])</f>
        <v>2023</v>
      </c>
    </row>
    <row r="469" spans="1:13">
      <c r="A469" t="s">
        <v>941</v>
      </c>
      <c r="B469" s="1">
        <v>45131</v>
      </c>
      <c r="C469" t="s">
        <v>39</v>
      </c>
      <c r="D469" t="s">
        <v>73</v>
      </c>
      <c r="E469" t="s">
        <v>84</v>
      </c>
      <c r="F469" t="s">
        <v>942</v>
      </c>
      <c r="G469">
        <v>280.07</v>
      </c>
      <c r="H469">
        <v>9</v>
      </c>
      <c r="I469">
        <v>66.61</v>
      </c>
      <c r="J469" t="s">
        <v>18</v>
      </c>
      <c r="K469" s="6">
        <f>tblSales[[#This Row],[Profit]]/tblSales[[#This Row],[Sales]]</f>
        <v>0.23783339879315885</v>
      </c>
      <c r="L469" t="str">
        <f>TEXT(tblSales[[#This Row],[Order Date]],"mmm")</f>
        <v>Jul</v>
      </c>
      <c r="M469">
        <f>YEAR(tblSales[[#This Row],[Order Date]])</f>
        <v>2023</v>
      </c>
    </row>
    <row r="470" spans="1:13">
      <c r="A470" t="s">
        <v>943</v>
      </c>
      <c r="B470" s="1">
        <v>45132</v>
      </c>
      <c r="C470" t="s">
        <v>39</v>
      </c>
      <c r="D470" t="s">
        <v>40</v>
      </c>
      <c r="E470" t="s">
        <v>41</v>
      </c>
      <c r="F470" t="s">
        <v>944</v>
      </c>
      <c r="G470">
        <v>46.54</v>
      </c>
      <c r="H470">
        <v>8</v>
      </c>
      <c r="I470">
        <v>2.99</v>
      </c>
      <c r="J470" t="s">
        <v>24</v>
      </c>
      <c r="K470" s="6">
        <f>tblSales[[#This Row],[Profit]]/tblSales[[#This Row],[Sales]]</f>
        <v>6.4245810055865923E-2</v>
      </c>
      <c r="L470" t="str">
        <f>TEXT(tblSales[[#This Row],[Order Date]],"mmm")</f>
        <v>Jul</v>
      </c>
      <c r="M470">
        <f>YEAR(tblSales[[#This Row],[Order Date]])</f>
        <v>2023</v>
      </c>
    </row>
    <row r="471" spans="1:13">
      <c r="A471" t="s">
        <v>945</v>
      </c>
      <c r="B471" s="1">
        <v>45133</v>
      </c>
      <c r="C471" t="s">
        <v>33</v>
      </c>
      <c r="D471" t="s">
        <v>26</v>
      </c>
      <c r="E471" t="s">
        <v>27</v>
      </c>
      <c r="F471" t="s">
        <v>946</v>
      </c>
      <c r="G471">
        <v>538.17999999999995</v>
      </c>
      <c r="H471">
        <v>3</v>
      </c>
      <c r="I471">
        <v>63.99</v>
      </c>
      <c r="J471" t="s">
        <v>18</v>
      </c>
      <c r="K471" s="6">
        <f>tblSales[[#This Row],[Profit]]/tblSales[[#This Row],[Sales]]</f>
        <v>0.11890073952952546</v>
      </c>
      <c r="L471" t="str">
        <f>TEXT(tblSales[[#This Row],[Order Date]],"mmm")</f>
        <v>Jul</v>
      </c>
      <c r="M471">
        <f>YEAR(tblSales[[#This Row],[Order Date]])</f>
        <v>2023</v>
      </c>
    </row>
    <row r="472" spans="1:13">
      <c r="A472" t="s">
        <v>947</v>
      </c>
      <c r="B472" s="1">
        <v>45134</v>
      </c>
      <c r="C472" t="s">
        <v>14</v>
      </c>
      <c r="D472" t="s">
        <v>21</v>
      </c>
      <c r="E472" t="s">
        <v>22</v>
      </c>
      <c r="F472" t="s">
        <v>948</v>
      </c>
      <c r="G472">
        <v>1950.17</v>
      </c>
      <c r="H472">
        <v>6</v>
      </c>
      <c r="I472">
        <v>306.61</v>
      </c>
      <c r="J472" t="s">
        <v>18</v>
      </c>
      <c r="K472" s="6">
        <f>tblSales[[#This Row],[Profit]]/tblSales[[#This Row],[Sales]]</f>
        <v>0.15722219088592276</v>
      </c>
      <c r="L472" t="str">
        <f>TEXT(tblSales[[#This Row],[Order Date]],"mmm")</f>
        <v>Jul</v>
      </c>
      <c r="M472">
        <f>YEAR(tblSales[[#This Row],[Order Date]])</f>
        <v>2023</v>
      </c>
    </row>
    <row r="473" spans="1:13">
      <c r="A473" t="s">
        <v>949</v>
      </c>
      <c r="B473" s="1">
        <v>45135</v>
      </c>
      <c r="C473" t="s">
        <v>14</v>
      </c>
      <c r="D473" t="s">
        <v>40</v>
      </c>
      <c r="E473" t="s">
        <v>92</v>
      </c>
      <c r="F473" t="s">
        <v>950</v>
      </c>
      <c r="G473">
        <v>149.41999999999999</v>
      </c>
      <c r="H473">
        <v>4</v>
      </c>
      <c r="I473">
        <v>8.73</v>
      </c>
      <c r="J473" t="s">
        <v>24</v>
      </c>
      <c r="K473" s="6">
        <f>tblSales[[#This Row],[Profit]]/tblSales[[#This Row],[Sales]]</f>
        <v>5.8425913532325E-2</v>
      </c>
      <c r="L473" t="str">
        <f>TEXT(tblSales[[#This Row],[Order Date]],"mmm")</f>
        <v>Jul</v>
      </c>
      <c r="M473">
        <f>YEAR(tblSales[[#This Row],[Order Date]])</f>
        <v>2023</v>
      </c>
    </row>
    <row r="474" spans="1:13">
      <c r="A474" t="s">
        <v>951</v>
      </c>
      <c r="B474" s="1">
        <v>45136</v>
      </c>
      <c r="C474" t="s">
        <v>14</v>
      </c>
      <c r="D474" t="s">
        <v>15</v>
      </c>
      <c r="E474" t="s">
        <v>79</v>
      </c>
      <c r="F474" t="s">
        <v>952</v>
      </c>
      <c r="G474">
        <v>1814.75</v>
      </c>
      <c r="H474">
        <v>9</v>
      </c>
      <c r="I474">
        <v>247.68</v>
      </c>
      <c r="J474" t="s">
        <v>29</v>
      </c>
      <c r="K474" s="6">
        <f>tblSales[[#This Row],[Profit]]/tblSales[[#This Row],[Sales]]</f>
        <v>0.13648160903705744</v>
      </c>
      <c r="L474" t="str">
        <f>TEXT(tblSales[[#This Row],[Order Date]],"mmm")</f>
        <v>Jul</v>
      </c>
      <c r="M474">
        <f>YEAR(tblSales[[#This Row],[Order Date]])</f>
        <v>2023</v>
      </c>
    </row>
    <row r="475" spans="1:13">
      <c r="A475" t="s">
        <v>953</v>
      </c>
      <c r="B475" s="1">
        <v>45137</v>
      </c>
      <c r="C475" t="s">
        <v>33</v>
      </c>
      <c r="D475" t="s">
        <v>21</v>
      </c>
      <c r="E475" t="s">
        <v>57</v>
      </c>
      <c r="F475" t="s">
        <v>364</v>
      </c>
      <c r="G475">
        <v>1548.28</v>
      </c>
      <c r="H475">
        <v>6</v>
      </c>
      <c r="I475">
        <v>425.71</v>
      </c>
      <c r="J475" t="s">
        <v>18</v>
      </c>
      <c r="K475" s="6">
        <f>tblSales[[#This Row],[Profit]]/tblSales[[#This Row],[Sales]]</f>
        <v>0.27495672617356032</v>
      </c>
      <c r="L475" t="str">
        <f>TEXT(tblSales[[#This Row],[Order Date]],"mmm")</f>
        <v>Jul</v>
      </c>
      <c r="M475">
        <f>YEAR(tblSales[[#This Row],[Order Date]])</f>
        <v>2023</v>
      </c>
    </row>
    <row r="476" spans="1:13">
      <c r="A476" t="s">
        <v>954</v>
      </c>
      <c r="B476" s="1">
        <v>45138</v>
      </c>
      <c r="C476" t="s">
        <v>39</v>
      </c>
      <c r="D476" t="s">
        <v>15</v>
      </c>
      <c r="E476" t="s">
        <v>16</v>
      </c>
      <c r="F476" t="s">
        <v>955</v>
      </c>
      <c r="G476">
        <v>273.42</v>
      </c>
      <c r="H476">
        <v>7</v>
      </c>
      <c r="I476">
        <v>40.57</v>
      </c>
      <c r="J476" t="s">
        <v>24</v>
      </c>
      <c r="K476" s="6">
        <f>tblSales[[#This Row],[Profit]]/tblSales[[#This Row],[Sales]]</f>
        <v>0.148379782020335</v>
      </c>
      <c r="L476" t="str">
        <f>TEXT(tblSales[[#This Row],[Order Date]],"mmm")</f>
        <v>Jul</v>
      </c>
      <c r="M476">
        <f>YEAR(tblSales[[#This Row],[Order Date]])</f>
        <v>2023</v>
      </c>
    </row>
    <row r="477" spans="1:13">
      <c r="A477" t="s">
        <v>956</v>
      </c>
      <c r="B477" s="1">
        <v>45139</v>
      </c>
      <c r="C477" t="s">
        <v>33</v>
      </c>
      <c r="D477" t="s">
        <v>15</v>
      </c>
      <c r="E477" t="s">
        <v>60</v>
      </c>
      <c r="F477" t="s">
        <v>957</v>
      </c>
      <c r="G477">
        <v>535.11</v>
      </c>
      <c r="H477">
        <v>9</v>
      </c>
      <c r="I477">
        <v>92.91</v>
      </c>
      <c r="J477" t="s">
        <v>29</v>
      </c>
      <c r="K477" s="6">
        <f>tblSales[[#This Row],[Profit]]/tblSales[[#This Row],[Sales]]</f>
        <v>0.17362785221730109</v>
      </c>
      <c r="L477" t="str">
        <f>TEXT(tblSales[[#This Row],[Order Date]],"mmm")</f>
        <v>Aug</v>
      </c>
      <c r="M477">
        <f>YEAR(tblSales[[#This Row],[Order Date]])</f>
        <v>2023</v>
      </c>
    </row>
    <row r="478" spans="1:13">
      <c r="A478" t="s">
        <v>958</v>
      </c>
      <c r="B478" s="1">
        <v>45140</v>
      </c>
      <c r="C478" t="s">
        <v>14</v>
      </c>
      <c r="D478" t="s">
        <v>40</v>
      </c>
      <c r="E478" t="s">
        <v>44</v>
      </c>
      <c r="F478" t="s">
        <v>959</v>
      </c>
      <c r="G478">
        <v>307.02999999999997</v>
      </c>
      <c r="H478">
        <v>7</v>
      </c>
      <c r="I478">
        <v>30.56</v>
      </c>
      <c r="J478" t="s">
        <v>29</v>
      </c>
      <c r="K478" s="6">
        <f>tblSales[[#This Row],[Profit]]/tblSales[[#This Row],[Sales]]</f>
        <v>9.953424746767417E-2</v>
      </c>
      <c r="L478" t="str">
        <f>TEXT(tblSales[[#This Row],[Order Date]],"mmm")</f>
        <v>Aug</v>
      </c>
      <c r="M478">
        <f>YEAR(tblSales[[#This Row],[Order Date]])</f>
        <v>2023</v>
      </c>
    </row>
    <row r="479" spans="1:13">
      <c r="A479" t="s">
        <v>960</v>
      </c>
      <c r="B479" s="1">
        <v>45141</v>
      </c>
      <c r="C479" t="s">
        <v>33</v>
      </c>
      <c r="D479" t="s">
        <v>40</v>
      </c>
      <c r="E479" t="s">
        <v>92</v>
      </c>
      <c r="F479" t="s">
        <v>961</v>
      </c>
      <c r="G479">
        <v>631.22</v>
      </c>
      <c r="H479">
        <v>5</v>
      </c>
      <c r="I479">
        <v>127.59</v>
      </c>
      <c r="J479" t="s">
        <v>29</v>
      </c>
      <c r="K479" s="6">
        <f>tblSales[[#This Row],[Profit]]/tblSales[[#This Row],[Sales]]</f>
        <v>0.20213237856848643</v>
      </c>
      <c r="L479" t="str">
        <f>TEXT(tblSales[[#This Row],[Order Date]],"mmm")</f>
        <v>Aug</v>
      </c>
      <c r="M479">
        <f>YEAR(tblSales[[#This Row],[Order Date]])</f>
        <v>2023</v>
      </c>
    </row>
    <row r="480" spans="1:13">
      <c r="A480" t="s">
        <v>962</v>
      </c>
      <c r="B480" s="1">
        <v>45142</v>
      </c>
      <c r="C480" t="s">
        <v>20</v>
      </c>
      <c r="D480" t="s">
        <v>21</v>
      </c>
      <c r="E480" t="s">
        <v>22</v>
      </c>
      <c r="F480" t="s">
        <v>963</v>
      </c>
      <c r="G480">
        <v>63.63</v>
      </c>
      <c r="H480">
        <v>5</v>
      </c>
      <c r="I480">
        <v>6.77</v>
      </c>
      <c r="J480" t="s">
        <v>29</v>
      </c>
      <c r="K480" s="6">
        <f>tblSales[[#This Row],[Profit]]/tblSales[[#This Row],[Sales]]</f>
        <v>0.10639635392110638</v>
      </c>
      <c r="L480" t="str">
        <f>TEXT(tblSales[[#This Row],[Order Date]],"mmm")</f>
        <v>Aug</v>
      </c>
      <c r="M480">
        <f>YEAR(tblSales[[#This Row],[Order Date]])</f>
        <v>2023</v>
      </c>
    </row>
    <row r="481" spans="1:13">
      <c r="A481" t="s">
        <v>964</v>
      </c>
      <c r="B481" s="1">
        <v>45143</v>
      </c>
      <c r="C481" t="s">
        <v>33</v>
      </c>
      <c r="D481" t="s">
        <v>26</v>
      </c>
      <c r="E481" t="s">
        <v>34</v>
      </c>
      <c r="F481" t="s">
        <v>965</v>
      </c>
      <c r="G481">
        <v>1373.83</v>
      </c>
      <c r="H481">
        <v>1</v>
      </c>
      <c r="I481">
        <v>248.45</v>
      </c>
      <c r="J481" t="s">
        <v>18</v>
      </c>
      <c r="K481" s="6">
        <f>tblSales[[#This Row],[Profit]]/tblSales[[#This Row],[Sales]]</f>
        <v>0.18084479156809793</v>
      </c>
      <c r="L481" t="str">
        <f>TEXT(tblSales[[#This Row],[Order Date]],"mmm")</f>
        <v>Aug</v>
      </c>
      <c r="M481">
        <f>YEAR(tblSales[[#This Row],[Order Date]])</f>
        <v>2023</v>
      </c>
    </row>
    <row r="482" spans="1:13">
      <c r="A482" t="s">
        <v>966</v>
      </c>
      <c r="B482" s="1">
        <v>45144</v>
      </c>
      <c r="C482" t="s">
        <v>33</v>
      </c>
      <c r="D482" t="s">
        <v>40</v>
      </c>
      <c r="E482" t="s">
        <v>44</v>
      </c>
      <c r="F482" t="s">
        <v>967</v>
      </c>
      <c r="G482">
        <v>1723.08</v>
      </c>
      <c r="H482">
        <v>9</v>
      </c>
      <c r="I482">
        <v>427.19</v>
      </c>
      <c r="J482" t="s">
        <v>24</v>
      </c>
      <c r="K482" s="6">
        <f>tblSales[[#This Row],[Profit]]/tblSales[[#This Row],[Sales]]</f>
        <v>0.24792232513870513</v>
      </c>
      <c r="L482" t="str">
        <f>TEXT(tblSales[[#This Row],[Order Date]],"mmm")</f>
        <v>Aug</v>
      </c>
      <c r="M482">
        <f>YEAR(tblSales[[#This Row],[Order Date]])</f>
        <v>2023</v>
      </c>
    </row>
    <row r="483" spans="1:13">
      <c r="A483" t="s">
        <v>968</v>
      </c>
      <c r="B483" s="1">
        <v>45145</v>
      </c>
      <c r="C483" t="s">
        <v>33</v>
      </c>
      <c r="D483" t="s">
        <v>40</v>
      </c>
      <c r="E483" t="s">
        <v>41</v>
      </c>
      <c r="F483" t="s">
        <v>969</v>
      </c>
      <c r="G483">
        <v>1233.54</v>
      </c>
      <c r="H483">
        <v>6</v>
      </c>
      <c r="I483">
        <v>322.85000000000002</v>
      </c>
      <c r="J483" t="s">
        <v>29</v>
      </c>
      <c r="K483" s="6">
        <f>tblSales[[#This Row],[Profit]]/tblSales[[#This Row],[Sales]]</f>
        <v>0.26172641341180669</v>
      </c>
      <c r="L483" t="str">
        <f>TEXT(tblSales[[#This Row],[Order Date]],"mmm")</f>
        <v>Aug</v>
      </c>
      <c r="M483">
        <f>YEAR(tblSales[[#This Row],[Order Date]])</f>
        <v>2023</v>
      </c>
    </row>
    <row r="484" spans="1:13">
      <c r="A484" t="s">
        <v>970</v>
      </c>
      <c r="B484" s="1">
        <v>45146</v>
      </c>
      <c r="C484" t="s">
        <v>14</v>
      </c>
      <c r="D484" t="s">
        <v>26</v>
      </c>
      <c r="E484" t="s">
        <v>27</v>
      </c>
      <c r="F484" t="s">
        <v>971</v>
      </c>
      <c r="G484">
        <v>1335.09</v>
      </c>
      <c r="H484">
        <v>9</v>
      </c>
      <c r="I484">
        <v>290.06</v>
      </c>
      <c r="J484" t="s">
        <v>24</v>
      </c>
      <c r="K484" s="6">
        <f>tblSales[[#This Row],[Profit]]/tblSales[[#This Row],[Sales]]</f>
        <v>0.21725876158161622</v>
      </c>
      <c r="L484" t="str">
        <f>TEXT(tblSales[[#This Row],[Order Date]],"mmm")</f>
        <v>Aug</v>
      </c>
      <c r="M484">
        <f>YEAR(tblSales[[#This Row],[Order Date]])</f>
        <v>2023</v>
      </c>
    </row>
    <row r="485" spans="1:13">
      <c r="A485" t="s">
        <v>972</v>
      </c>
      <c r="B485" s="1">
        <v>45147</v>
      </c>
      <c r="C485" t="s">
        <v>20</v>
      </c>
      <c r="D485" t="s">
        <v>21</v>
      </c>
      <c r="E485" t="s">
        <v>57</v>
      </c>
      <c r="F485" t="s">
        <v>973</v>
      </c>
      <c r="G485">
        <v>835.3</v>
      </c>
      <c r="H485">
        <v>7</v>
      </c>
      <c r="I485">
        <v>155.66</v>
      </c>
      <c r="J485" t="s">
        <v>24</v>
      </c>
      <c r="K485" s="6">
        <f>tblSales[[#This Row],[Profit]]/tblSales[[#This Row],[Sales]]</f>
        <v>0.18635220878726208</v>
      </c>
      <c r="L485" t="str">
        <f>TEXT(tblSales[[#This Row],[Order Date]],"mmm")</f>
        <v>Aug</v>
      </c>
      <c r="M485">
        <f>YEAR(tblSales[[#This Row],[Order Date]])</f>
        <v>2023</v>
      </c>
    </row>
    <row r="486" spans="1:13">
      <c r="A486" t="s">
        <v>974</v>
      </c>
      <c r="B486" s="1">
        <v>45148</v>
      </c>
      <c r="C486" t="s">
        <v>39</v>
      </c>
      <c r="D486" t="s">
        <v>15</v>
      </c>
      <c r="E486" t="s">
        <v>16</v>
      </c>
      <c r="F486" t="s">
        <v>975</v>
      </c>
      <c r="G486">
        <v>241.63</v>
      </c>
      <c r="H486">
        <v>3</v>
      </c>
      <c r="I486">
        <v>15.22</v>
      </c>
      <c r="J486" t="s">
        <v>18</v>
      </c>
      <c r="K486" s="6">
        <f>tblSales[[#This Row],[Profit]]/tblSales[[#This Row],[Sales]]</f>
        <v>6.2988867276414354E-2</v>
      </c>
      <c r="L486" t="str">
        <f>TEXT(tblSales[[#This Row],[Order Date]],"mmm")</f>
        <v>Aug</v>
      </c>
      <c r="M486">
        <f>YEAR(tblSales[[#This Row],[Order Date]])</f>
        <v>2023</v>
      </c>
    </row>
    <row r="487" spans="1:13">
      <c r="A487" t="s">
        <v>976</v>
      </c>
      <c r="B487" s="1">
        <v>45149</v>
      </c>
      <c r="C487" t="s">
        <v>14</v>
      </c>
      <c r="D487" t="s">
        <v>73</v>
      </c>
      <c r="E487" t="s">
        <v>74</v>
      </c>
      <c r="F487" t="s">
        <v>977</v>
      </c>
      <c r="G487">
        <v>692.76</v>
      </c>
      <c r="H487">
        <v>5</v>
      </c>
      <c r="I487">
        <v>63.16</v>
      </c>
      <c r="J487" t="s">
        <v>29</v>
      </c>
      <c r="K487" s="6">
        <f>tblSales[[#This Row],[Profit]]/tblSales[[#This Row],[Sales]]</f>
        <v>9.1171545701252951E-2</v>
      </c>
      <c r="L487" t="str">
        <f>TEXT(tblSales[[#This Row],[Order Date]],"mmm")</f>
        <v>Aug</v>
      </c>
      <c r="M487">
        <f>YEAR(tblSales[[#This Row],[Order Date]])</f>
        <v>2023</v>
      </c>
    </row>
    <row r="488" spans="1:13">
      <c r="A488" t="s">
        <v>978</v>
      </c>
      <c r="B488" s="1">
        <v>45150</v>
      </c>
      <c r="C488" t="s">
        <v>20</v>
      </c>
      <c r="D488" t="s">
        <v>73</v>
      </c>
      <c r="E488" t="s">
        <v>164</v>
      </c>
      <c r="F488" t="s">
        <v>979</v>
      </c>
      <c r="G488">
        <v>1518.37</v>
      </c>
      <c r="H488">
        <v>6</v>
      </c>
      <c r="I488">
        <v>82.73</v>
      </c>
      <c r="J488" t="s">
        <v>24</v>
      </c>
      <c r="K488" s="6">
        <f>tblSales[[#This Row],[Profit]]/tblSales[[#This Row],[Sales]]</f>
        <v>5.4486060709840162E-2</v>
      </c>
      <c r="L488" t="str">
        <f>TEXT(tblSales[[#This Row],[Order Date]],"mmm")</f>
        <v>Aug</v>
      </c>
      <c r="M488">
        <f>YEAR(tblSales[[#This Row],[Order Date]])</f>
        <v>2023</v>
      </c>
    </row>
    <row r="489" spans="1:13">
      <c r="A489" t="s">
        <v>980</v>
      </c>
      <c r="B489" s="1">
        <v>45151</v>
      </c>
      <c r="C489" t="s">
        <v>20</v>
      </c>
      <c r="D489" t="s">
        <v>21</v>
      </c>
      <c r="E489" t="s">
        <v>57</v>
      </c>
      <c r="F489" t="s">
        <v>981</v>
      </c>
      <c r="G489">
        <v>1761.57</v>
      </c>
      <c r="H489">
        <v>9</v>
      </c>
      <c r="I489">
        <v>334.78</v>
      </c>
      <c r="J489" t="s">
        <v>29</v>
      </c>
      <c r="K489" s="6">
        <f>tblSales[[#This Row],[Profit]]/tblSales[[#This Row],[Sales]]</f>
        <v>0.19004637908229591</v>
      </c>
      <c r="L489" t="str">
        <f>TEXT(tblSales[[#This Row],[Order Date]],"mmm")</f>
        <v>Aug</v>
      </c>
      <c r="M489">
        <f>YEAR(tblSales[[#This Row],[Order Date]])</f>
        <v>2023</v>
      </c>
    </row>
    <row r="490" spans="1:13">
      <c r="A490" t="s">
        <v>982</v>
      </c>
      <c r="B490" s="1">
        <v>45152</v>
      </c>
      <c r="C490" t="s">
        <v>14</v>
      </c>
      <c r="D490" t="s">
        <v>73</v>
      </c>
      <c r="E490" t="s">
        <v>164</v>
      </c>
      <c r="F490" t="s">
        <v>983</v>
      </c>
      <c r="G490">
        <v>73.790000000000006</v>
      </c>
      <c r="H490">
        <v>9</v>
      </c>
      <c r="I490">
        <v>5.43</v>
      </c>
      <c r="J490" t="s">
        <v>29</v>
      </c>
      <c r="K490" s="6">
        <f>tblSales[[#This Row],[Profit]]/tblSales[[#This Row],[Sales]]</f>
        <v>7.3587206938609553E-2</v>
      </c>
      <c r="L490" t="str">
        <f>TEXT(tblSales[[#This Row],[Order Date]],"mmm")</f>
        <v>Aug</v>
      </c>
      <c r="M490">
        <f>YEAR(tblSales[[#This Row],[Order Date]])</f>
        <v>2023</v>
      </c>
    </row>
    <row r="491" spans="1:13">
      <c r="A491" t="s">
        <v>984</v>
      </c>
      <c r="B491" s="1">
        <v>45153</v>
      </c>
      <c r="C491" t="s">
        <v>14</v>
      </c>
      <c r="D491" t="s">
        <v>40</v>
      </c>
      <c r="E491" t="s">
        <v>92</v>
      </c>
      <c r="F491" t="s">
        <v>985</v>
      </c>
      <c r="G491">
        <v>793.64</v>
      </c>
      <c r="H491">
        <v>3</v>
      </c>
      <c r="I491">
        <v>60.61</v>
      </c>
      <c r="J491" t="s">
        <v>29</v>
      </c>
      <c r="K491" s="6">
        <f>tblSales[[#This Row],[Profit]]/tblSales[[#This Row],[Sales]]</f>
        <v>7.6369638627085332E-2</v>
      </c>
      <c r="L491" t="str">
        <f>TEXT(tblSales[[#This Row],[Order Date]],"mmm")</f>
        <v>Aug</v>
      </c>
      <c r="M491">
        <f>YEAR(tblSales[[#This Row],[Order Date]])</f>
        <v>2023</v>
      </c>
    </row>
    <row r="492" spans="1:13">
      <c r="A492" t="s">
        <v>986</v>
      </c>
      <c r="B492" s="1">
        <v>45154</v>
      </c>
      <c r="C492" t="s">
        <v>20</v>
      </c>
      <c r="D492" t="s">
        <v>40</v>
      </c>
      <c r="E492" t="s">
        <v>41</v>
      </c>
      <c r="F492" t="s">
        <v>987</v>
      </c>
      <c r="G492">
        <v>1647.76</v>
      </c>
      <c r="H492">
        <v>2</v>
      </c>
      <c r="I492">
        <v>120.87</v>
      </c>
      <c r="J492" t="s">
        <v>29</v>
      </c>
      <c r="K492" s="6">
        <f>tblSales[[#This Row],[Profit]]/tblSales[[#This Row],[Sales]]</f>
        <v>7.3354129242122645E-2</v>
      </c>
      <c r="L492" t="str">
        <f>TEXT(tblSales[[#This Row],[Order Date]],"mmm")</f>
        <v>Aug</v>
      </c>
      <c r="M492">
        <f>YEAR(tblSales[[#This Row],[Order Date]])</f>
        <v>2023</v>
      </c>
    </row>
    <row r="493" spans="1:13">
      <c r="A493" t="s">
        <v>988</v>
      </c>
      <c r="B493" s="1">
        <v>45155</v>
      </c>
      <c r="C493" t="s">
        <v>20</v>
      </c>
      <c r="D493" t="s">
        <v>21</v>
      </c>
      <c r="E493" t="s">
        <v>89</v>
      </c>
      <c r="F493" t="s">
        <v>989</v>
      </c>
      <c r="G493">
        <v>407.31</v>
      </c>
      <c r="H493">
        <v>8</v>
      </c>
      <c r="I493">
        <v>49.6</v>
      </c>
      <c r="J493" t="s">
        <v>24</v>
      </c>
      <c r="K493" s="6">
        <f>tblSales[[#This Row],[Profit]]/tblSales[[#This Row],[Sales]]</f>
        <v>0.12177456973803737</v>
      </c>
      <c r="L493" t="str">
        <f>TEXT(tblSales[[#This Row],[Order Date]],"mmm")</f>
        <v>Aug</v>
      </c>
      <c r="M493">
        <f>YEAR(tblSales[[#This Row],[Order Date]])</f>
        <v>2023</v>
      </c>
    </row>
    <row r="494" spans="1:13">
      <c r="A494" t="s">
        <v>990</v>
      </c>
      <c r="B494" s="1">
        <v>45156</v>
      </c>
      <c r="C494" t="s">
        <v>14</v>
      </c>
      <c r="D494" t="s">
        <v>15</v>
      </c>
      <c r="E494" t="s">
        <v>52</v>
      </c>
      <c r="F494" t="s">
        <v>991</v>
      </c>
      <c r="G494">
        <v>1163.6300000000001</v>
      </c>
      <c r="H494">
        <v>5</v>
      </c>
      <c r="I494">
        <v>149.05000000000001</v>
      </c>
      <c r="J494" t="s">
        <v>24</v>
      </c>
      <c r="K494" s="6">
        <f>tblSales[[#This Row],[Profit]]/tblSales[[#This Row],[Sales]]</f>
        <v>0.12809054424516383</v>
      </c>
      <c r="L494" t="str">
        <f>TEXT(tblSales[[#This Row],[Order Date]],"mmm")</f>
        <v>Aug</v>
      </c>
      <c r="M494">
        <f>YEAR(tblSales[[#This Row],[Order Date]])</f>
        <v>2023</v>
      </c>
    </row>
    <row r="495" spans="1:13">
      <c r="A495" t="s">
        <v>992</v>
      </c>
      <c r="B495" s="1">
        <v>45157</v>
      </c>
      <c r="C495" t="s">
        <v>39</v>
      </c>
      <c r="D495" t="s">
        <v>26</v>
      </c>
      <c r="E495" t="s">
        <v>49</v>
      </c>
      <c r="F495" t="s">
        <v>993</v>
      </c>
      <c r="G495">
        <v>1831.88</v>
      </c>
      <c r="H495">
        <v>8</v>
      </c>
      <c r="I495">
        <v>329.83</v>
      </c>
      <c r="J495" t="s">
        <v>24</v>
      </c>
      <c r="K495" s="6">
        <f>tblSales[[#This Row],[Profit]]/tblSales[[#This Row],[Sales]]</f>
        <v>0.18005000327532369</v>
      </c>
      <c r="L495" t="str">
        <f>TEXT(tblSales[[#This Row],[Order Date]],"mmm")</f>
        <v>Aug</v>
      </c>
      <c r="M495">
        <f>YEAR(tblSales[[#This Row],[Order Date]])</f>
        <v>2023</v>
      </c>
    </row>
    <row r="496" spans="1:13">
      <c r="A496" t="s">
        <v>994</v>
      </c>
      <c r="B496" s="1">
        <v>45158</v>
      </c>
      <c r="C496" t="s">
        <v>20</v>
      </c>
      <c r="D496" t="s">
        <v>26</v>
      </c>
      <c r="E496" t="s">
        <v>49</v>
      </c>
      <c r="F496" t="s">
        <v>115</v>
      </c>
      <c r="G496">
        <v>1590.66</v>
      </c>
      <c r="H496">
        <v>7</v>
      </c>
      <c r="I496">
        <v>323.49</v>
      </c>
      <c r="J496" t="s">
        <v>18</v>
      </c>
      <c r="K496" s="6">
        <f>tblSales[[#This Row],[Profit]]/tblSales[[#This Row],[Sales]]</f>
        <v>0.20336841311153861</v>
      </c>
      <c r="L496" t="str">
        <f>TEXT(tblSales[[#This Row],[Order Date]],"mmm")</f>
        <v>Aug</v>
      </c>
      <c r="M496">
        <f>YEAR(tblSales[[#This Row],[Order Date]])</f>
        <v>2023</v>
      </c>
    </row>
    <row r="497" spans="1:13">
      <c r="A497" t="s">
        <v>995</v>
      </c>
      <c r="B497" s="1">
        <v>45159</v>
      </c>
      <c r="C497" t="s">
        <v>33</v>
      </c>
      <c r="D497" t="s">
        <v>15</v>
      </c>
      <c r="E497" t="s">
        <v>16</v>
      </c>
      <c r="F497" t="s">
        <v>996</v>
      </c>
      <c r="G497">
        <v>568.27</v>
      </c>
      <c r="H497">
        <v>8</v>
      </c>
      <c r="I497">
        <v>100.45</v>
      </c>
      <c r="J497" t="s">
        <v>18</v>
      </c>
      <c r="K497" s="6">
        <f>tblSales[[#This Row],[Profit]]/tblSales[[#This Row],[Sales]]</f>
        <v>0.17676456613933519</v>
      </c>
      <c r="L497" t="str">
        <f>TEXT(tblSales[[#This Row],[Order Date]],"mmm")</f>
        <v>Aug</v>
      </c>
      <c r="M497">
        <f>YEAR(tblSales[[#This Row],[Order Date]])</f>
        <v>2023</v>
      </c>
    </row>
    <row r="498" spans="1:13">
      <c r="A498" t="s">
        <v>997</v>
      </c>
      <c r="B498" s="1">
        <v>45160</v>
      </c>
      <c r="C498" t="s">
        <v>14</v>
      </c>
      <c r="D498" t="s">
        <v>73</v>
      </c>
      <c r="E498" t="s">
        <v>164</v>
      </c>
      <c r="F498" t="s">
        <v>998</v>
      </c>
      <c r="G498">
        <v>86.1</v>
      </c>
      <c r="H498">
        <v>8</v>
      </c>
      <c r="I498">
        <v>23.55</v>
      </c>
      <c r="J498" t="s">
        <v>24</v>
      </c>
      <c r="K498" s="6">
        <f>tblSales[[#This Row],[Profit]]/tblSales[[#This Row],[Sales]]</f>
        <v>0.27351916376306623</v>
      </c>
      <c r="L498" t="str">
        <f>TEXT(tblSales[[#This Row],[Order Date]],"mmm")</f>
        <v>Aug</v>
      </c>
      <c r="M498">
        <f>YEAR(tblSales[[#This Row],[Order Date]])</f>
        <v>2023</v>
      </c>
    </row>
    <row r="499" spans="1:13">
      <c r="A499" t="s">
        <v>999</v>
      </c>
      <c r="B499" s="1">
        <v>45161</v>
      </c>
      <c r="C499" t="s">
        <v>33</v>
      </c>
      <c r="D499" t="s">
        <v>40</v>
      </c>
      <c r="E499" t="s">
        <v>44</v>
      </c>
      <c r="F499" t="s">
        <v>1000</v>
      </c>
      <c r="G499">
        <v>640.05999999999995</v>
      </c>
      <c r="H499">
        <v>6</v>
      </c>
      <c r="I499">
        <v>186.86</v>
      </c>
      <c r="J499" t="s">
        <v>18</v>
      </c>
      <c r="K499" s="6">
        <f>tblSales[[#This Row],[Profit]]/tblSales[[#This Row],[Sales]]</f>
        <v>0.29194138049557861</v>
      </c>
      <c r="L499" t="str">
        <f>TEXT(tblSales[[#This Row],[Order Date]],"mmm")</f>
        <v>Aug</v>
      </c>
      <c r="M499">
        <f>YEAR(tblSales[[#This Row],[Order Date]])</f>
        <v>2023</v>
      </c>
    </row>
    <row r="500" spans="1:13">
      <c r="A500" t="s">
        <v>1001</v>
      </c>
      <c r="B500" s="1">
        <v>45162</v>
      </c>
      <c r="C500" t="s">
        <v>39</v>
      </c>
      <c r="D500" t="s">
        <v>21</v>
      </c>
      <c r="E500" t="s">
        <v>57</v>
      </c>
      <c r="F500" t="s">
        <v>1002</v>
      </c>
      <c r="G500">
        <v>1611.14</v>
      </c>
      <c r="H500">
        <v>7</v>
      </c>
      <c r="I500">
        <v>470.1</v>
      </c>
      <c r="J500" t="s">
        <v>18</v>
      </c>
      <c r="K500" s="6">
        <f>tblSales[[#This Row],[Profit]]/tblSales[[#This Row],[Sales]]</f>
        <v>0.29178097496182825</v>
      </c>
      <c r="L500" t="str">
        <f>TEXT(tblSales[[#This Row],[Order Date]],"mmm")</f>
        <v>Aug</v>
      </c>
      <c r="M500">
        <f>YEAR(tblSales[[#This Row],[Order Date]])</f>
        <v>2023</v>
      </c>
    </row>
    <row r="501" spans="1:13">
      <c r="A501" t="s">
        <v>1003</v>
      </c>
      <c r="B501" s="1">
        <v>45163</v>
      </c>
      <c r="C501" t="s">
        <v>20</v>
      </c>
      <c r="D501" t="s">
        <v>15</v>
      </c>
      <c r="E501" t="s">
        <v>16</v>
      </c>
      <c r="F501" t="s">
        <v>1004</v>
      </c>
      <c r="G501">
        <v>1968.54</v>
      </c>
      <c r="H501">
        <v>5</v>
      </c>
      <c r="I501">
        <v>455.32</v>
      </c>
      <c r="J501" t="s">
        <v>18</v>
      </c>
      <c r="K501" s="6">
        <f>tblSales[[#This Row],[Profit]]/tblSales[[#This Row],[Sales]]</f>
        <v>0.23129832261472971</v>
      </c>
      <c r="L501" t="str">
        <f>TEXT(tblSales[[#This Row],[Order Date]],"mmm")</f>
        <v>Aug</v>
      </c>
      <c r="M501">
        <f>YEAR(tblSales[[#This Row],[Order Date]])</f>
        <v>2023</v>
      </c>
    </row>
    <row r="502" spans="1:13">
      <c r="A502" t="s">
        <v>1005</v>
      </c>
      <c r="B502" s="1">
        <v>45164</v>
      </c>
      <c r="C502" t="s">
        <v>39</v>
      </c>
      <c r="D502" t="s">
        <v>21</v>
      </c>
      <c r="E502" t="s">
        <v>57</v>
      </c>
      <c r="F502" t="s">
        <v>1006</v>
      </c>
      <c r="G502">
        <v>1994.21</v>
      </c>
      <c r="H502">
        <v>7</v>
      </c>
      <c r="I502">
        <v>164.44</v>
      </c>
      <c r="J502" t="s">
        <v>24</v>
      </c>
      <c r="K502" s="6">
        <f>tblSales[[#This Row],[Profit]]/tblSales[[#This Row],[Sales]]</f>
        <v>8.2458717988576929E-2</v>
      </c>
      <c r="L502" t="str">
        <f>TEXT(tblSales[[#This Row],[Order Date]],"mmm")</f>
        <v>Aug</v>
      </c>
      <c r="M502">
        <f>YEAR(tblSales[[#This Row],[Order Date]])</f>
        <v>2023</v>
      </c>
    </row>
    <row r="503" spans="1:13">
      <c r="A503" t="s">
        <v>1007</v>
      </c>
      <c r="B503" s="1">
        <v>45165</v>
      </c>
      <c r="C503" t="s">
        <v>14</v>
      </c>
      <c r="D503" t="s">
        <v>26</v>
      </c>
      <c r="E503" t="s">
        <v>49</v>
      </c>
      <c r="F503" t="s">
        <v>1008</v>
      </c>
      <c r="G503">
        <v>1064.25</v>
      </c>
      <c r="H503">
        <v>9</v>
      </c>
      <c r="I503">
        <v>272.17</v>
      </c>
      <c r="J503" t="s">
        <v>18</v>
      </c>
      <c r="K503" s="6">
        <f>tblSales[[#This Row],[Profit]]/tblSales[[#This Row],[Sales]]</f>
        <v>0.25573878318064364</v>
      </c>
      <c r="L503" t="str">
        <f>TEXT(tblSales[[#This Row],[Order Date]],"mmm")</f>
        <v>Aug</v>
      </c>
      <c r="M503">
        <f>YEAR(tblSales[[#This Row],[Order Date]])</f>
        <v>2023</v>
      </c>
    </row>
    <row r="504" spans="1:13">
      <c r="A504" t="s">
        <v>1009</v>
      </c>
      <c r="B504" s="1">
        <v>45166</v>
      </c>
      <c r="C504" t="s">
        <v>39</v>
      </c>
      <c r="D504" t="s">
        <v>15</v>
      </c>
      <c r="E504" t="s">
        <v>52</v>
      </c>
      <c r="F504" t="s">
        <v>1010</v>
      </c>
      <c r="G504">
        <v>770.47</v>
      </c>
      <c r="H504">
        <v>3</v>
      </c>
      <c r="I504">
        <v>74.62</v>
      </c>
      <c r="J504" t="s">
        <v>24</v>
      </c>
      <c r="K504" s="6">
        <f>tblSales[[#This Row],[Profit]]/tblSales[[#This Row],[Sales]]</f>
        <v>9.6849974690773166E-2</v>
      </c>
      <c r="L504" t="str">
        <f>TEXT(tblSales[[#This Row],[Order Date]],"mmm")</f>
        <v>Aug</v>
      </c>
      <c r="M504">
        <f>YEAR(tblSales[[#This Row],[Order Date]])</f>
        <v>2023</v>
      </c>
    </row>
    <row r="505" spans="1:13">
      <c r="A505" t="s">
        <v>1011</v>
      </c>
      <c r="B505" s="1">
        <v>45167</v>
      </c>
      <c r="C505" t="s">
        <v>14</v>
      </c>
      <c r="D505" t="s">
        <v>21</v>
      </c>
      <c r="E505" t="s">
        <v>89</v>
      </c>
      <c r="F505" t="s">
        <v>1012</v>
      </c>
      <c r="G505">
        <v>1641.75</v>
      </c>
      <c r="H505">
        <v>2</v>
      </c>
      <c r="I505">
        <v>127.54</v>
      </c>
      <c r="J505" t="s">
        <v>24</v>
      </c>
      <c r="K505" s="6">
        <f>tblSales[[#This Row],[Profit]]/tblSales[[#This Row],[Sales]]</f>
        <v>7.7685396680371555E-2</v>
      </c>
      <c r="L505" t="str">
        <f>TEXT(tblSales[[#This Row],[Order Date]],"mmm")</f>
        <v>Aug</v>
      </c>
      <c r="M505">
        <f>YEAR(tblSales[[#This Row],[Order Date]])</f>
        <v>2023</v>
      </c>
    </row>
    <row r="506" spans="1:13">
      <c r="A506" t="s">
        <v>1013</v>
      </c>
      <c r="B506" s="1">
        <v>45168</v>
      </c>
      <c r="C506" t="s">
        <v>33</v>
      </c>
      <c r="D506" t="s">
        <v>15</v>
      </c>
      <c r="E506" t="s">
        <v>16</v>
      </c>
      <c r="F506" t="s">
        <v>1014</v>
      </c>
      <c r="G506">
        <v>1976.37</v>
      </c>
      <c r="H506">
        <v>2</v>
      </c>
      <c r="I506">
        <v>504.78</v>
      </c>
      <c r="J506" t="s">
        <v>24</v>
      </c>
      <c r="K506" s="6">
        <f>tblSales[[#This Row],[Profit]]/tblSales[[#This Row],[Sales]]</f>
        <v>0.25540764128174381</v>
      </c>
      <c r="L506" t="str">
        <f>TEXT(tblSales[[#This Row],[Order Date]],"mmm")</f>
        <v>Aug</v>
      </c>
      <c r="M506">
        <f>YEAR(tblSales[[#This Row],[Order Date]])</f>
        <v>2023</v>
      </c>
    </row>
    <row r="507" spans="1:13">
      <c r="A507" t="s">
        <v>1015</v>
      </c>
      <c r="B507" s="1">
        <v>45169</v>
      </c>
      <c r="C507" t="s">
        <v>39</v>
      </c>
      <c r="D507" t="s">
        <v>40</v>
      </c>
      <c r="E507" t="s">
        <v>41</v>
      </c>
      <c r="F507" t="s">
        <v>1016</v>
      </c>
      <c r="G507">
        <v>1762.05</v>
      </c>
      <c r="H507">
        <v>5</v>
      </c>
      <c r="I507">
        <v>137.86000000000001</v>
      </c>
      <c r="J507" t="s">
        <v>24</v>
      </c>
      <c r="K507" s="6">
        <f>tblSales[[#This Row],[Profit]]/tblSales[[#This Row],[Sales]]</f>
        <v>7.8238415481967041E-2</v>
      </c>
      <c r="L507" t="str">
        <f>TEXT(tblSales[[#This Row],[Order Date]],"mmm")</f>
        <v>Aug</v>
      </c>
      <c r="M507">
        <f>YEAR(tblSales[[#This Row],[Order Date]])</f>
        <v>2023</v>
      </c>
    </row>
    <row r="508" spans="1:13">
      <c r="A508" t="s">
        <v>1017</v>
      </c>
      <c r="B508" s="1">
        <v>45170</v>
      </c>
      <c r="C508" t="s">
        <v>39</v>
      </c>
      <c r="D508" t="s">
        <v>73</v>
      </c>
      <c r="E508" t="s">
        <v>84</v>
      </c>
      <c r="F508" t="s">
        <v>784</v>
      </c>
      <c r="G508">
        <v>1443.77</v>
      </c>
      <c r="H508">
        <v>3</v>
      </c>
      <c r="I508">
        <v>123.43</v>
      </c>
      <c r="J508" t="s">
        <v>29</v>
      </c>
      <c r="K508" s="6">
        <f>tblSales[[#This Row],[Profit]]/tblSales[[#This Row],[Sales]]</f>
        <v>8.549145639540924E-2</v>
      </c>
      <c r="L508" t="str">
        <f>TEXT(tblSales[[#This Row],[Order Date]],"mmm")</f>
        <v>Sep</v>
      </c>
      <c r="M508">
        <f>YEAR(tblSales[[#This Row],[Order Date]])</f>
        <v>2023</v>
      </c>
    </row>
    <row r="509" spans="1:13">
      <c r="A509" t="s">
        <v>1018</v>
      </c>
      <c r="B509" s="1">
        <v>45171</v>
      </c>
      <c r="C509" t="s">
        <v>20</v>
      </c>
      <c r="D509" t="s">
        <v>21</v>
      </c>
      <c r="E509" t="s">
        <v>57</v>
      </c>
      <c r="F509" t="s">
        <v>1019</v>
      </c>
      <c r="G509">
        <v>911.69</v>
      </c>
      <c r="H509">
        <v>9</v>
      </c>
      <c r="I509">
        <v>144.85</v>
      </c>
      <c r="J509" t="s">
        <v>24</v>
      </c>
      <c r="K509" s="6">
        <f>tblSales[[#This Row],[Profit]]/tblSales[[#This Row],[Sales]]</f>
        <v>0.15888075990742465</v>
      </c>
      <c r="L509" t="str">
        <f>TEXT(tblSales[[#This Row],[Order Date]],"mmm")</f>
        <v>Sep</v>
      </c>
      <c r="M509">
        <f>YEAR(tblSales[[#This Row],[Order Date]])</f>
        <v>2023</v>
      </c>
    </row>
    <row r="510" spans="1:13">
      <c r="A510" t="s">
        <v>1020</v>
      </c>
      <c r="B510" s="1">
        <v>45172</v>
      </c>
      <c r="C510" t="s">
        <v>14</v>
      </c>
      <c r="D510" t="s">
        <v>73</v>
      </c>
      <c r="E510" t="s">
        <v>164</v>
      </c>
      <c r="F510" t="s">
        <v>1021</v>
      </c>
      <c r="G510">
        <v>1686.07</v>
      </c>
      <c r="H510">
        <v>3</v>
      </c>
      <c r="I510">
        <v>97.42</v>
      </c>
      <c r="J510" t="s">
        <v>18</v>
      </c>
      <c r="K510" s="6">
        <f>tblSales[[#This Row],[Profit]]/tblSales[[#This Row],[Sales]]</f>
        <v>5.7779333005153997E-2</v>
      </c>
      <c r="L510" t="str">
        <f>TEXT(tblSales[[#This Row],[Order Date]],"mmm")</f>
        <v>Sep</v>
      </c>
      <c r="M510">
        <f>YEAR(tblSales[[#This Row],[Order Date]])</f>
        <v>2023</v>
      </c>
    </row>
    <row r="511" spans="1:13">
      <c r="A511" t="s">
        <v>1022</v>
      </c>
      <c r="B511" s="1">
        <v>45173</v>
      </c>
      <c r="C511" t="s">
        <v>20</v>
      </c>
      <c r="D511" t="s">
        <v>40</v>
      </c>
      <c r="E511" t="s">
        <v>44</v>
      </c>
      <c r="F511" t="s">
        <v>1023</v>
      </c>
      <c r="G511">
        <v>663.71</v>
      </c>
      <c r="H511">
        <v>8</v>
      </c>
      <c r="I511">
        <v>33.82</v>
      </c>
      <c r="J511" t="s">
        <v>24</v>
      </c>
      <c r="K511" s="6">
        <f>tblSales[[#This Row],[Profit]]/tblSales[[#This Row],[Sales]]</f>
        <v>5.095598981482876E-2</v>
      </c>
      <c r="L511" t="str">
        <f>TEXT(tblSales[[#This Row],[Order Date]],"mmm")</f>
        <v>Sep</v>
      </c>
      <c r="M511">
        <f>YEAR(tblSales[[#This Row],[Order Date]])</f>
        <v>2023</v>
      </c>
    </row>
    <row r="512" spans="1:13">
      <c r="A512" t="s">
        <v>1024</v>
      </c>
      <c r="B512" s="1">
        <v>45174</v>
      </c>
      <c r="C512" t="s">
        <v>39</v>
      </c>
      <c r="D512" t="s">
        <v>40</v>
      </c>
      <c r="E512" t="s">
        <v>92</v>
      </c>
      <c r="F512" t="s">
        <v>1025</v>
      </c>
      <c r="G512">
        <v>350.92</v>
      </c>
      <c r="H512">
        <v>4</v>
      </c>
      <c r="I512">
        <v>37.479999999999997</v>
      </c>
      <c r="J512" t="s">
        <v>24</v>
      </c>
      <c r="K512" s="6">
        <f>tblSales[[#This Row],[Profit]]/tblSales[[#This Row],[Sales]]</f>
        <v>0.10680496979368516</v>
      </c>
      <c r="L512" t="str">
        <f>TEXT(tblSales[[#This Row],[Order Date]],"mmm")</f>
        <v>Sep</v>
      </c>
      <c r="M512">
        <f>YEAR(tblSales[[#This Row],[Order Date]])</f>
        <v>2023</v>
      </c>
    </row>
    <row r="513" spans="1:13">
      <c r="A513" t="s">
        <v>1026</v>
      </c>
      <c r="B513" s="1">
        <v>45175</v>
      </c>
      <c r="C513" t="s">
        <v>20</v>
      </c>
      <c r="D513" t="s">
        <v>15</v>
      </c>
      <c r="E513" t="s">
        <v>16</v>
      </c>
      <c r="F513" t="s">
        <v>1027</v>
      </c>
      <c r="G513">
        <v>693.95</v>
      </c>
      <c r="H513">
        <v>9</v>
      </c>
      <c r="I513">
        <v>72.09</v>
      </c>
      <c r="J513" t="s">
        <v>18</v>
      </c>
      <c r="K513" s="6">
        <f>tblSales[[#This Row],[Profit]]/tblSales[[#This Row],[Sales]]</f>
        <v>0.10388356509835002</v>
      </c>
      <c r="L513" t="str">
        <f>TEXT(tblSales[[#This Row],[Order Date]],"mmm")</f>
        <v>Sep</v>
      </c>
      <c r="M513">
        <f>YEAR(tblSales[[#This Row],[Order Date]])</f>
        <v>2023</v>
      </c>
    </row>
    <row r="514" spans="1:13">
      <c r="A514" t="s">
        <v>1028</v>
      </c>
      <c r="B514" s="1">
        <v>45176</v>
      </c>
      <c r="C514" t="s">
        <v>33</v>
      </c>
      <c r="D514" t="s">
        <v>40</v>
      </c>
      <c r="E514" t="s">
        <v>92</v>
      </c>
      <c r="F514" t="s">
        <v>1029</v>
      </c>
      <c r="G514">
        <v>155.63999999999999</v>
      </c>
      <c r="H514">
        <v>9</v>
      </c>
      <c r="I514">
        <v>19.61</v>
      </c>
      <c r="J514" t="s">
        <v>29</v>
      </c>
      <c r="K514" s="6">
        <f>tblSales[[#This Row],[Profit]]/tblSales[[#This Row],[Sales]]</f>
        <v>0.12599588794654332</v>
      </c>
      <c r="L514" t="str">
        <f>TEXT(tblSales[[#This Row],[Order Date]],"mmm")</f>
        <v>Sep</v>
      </c>
      <c r="M514">
        <f>YEAR(tblSales[[#This Row],[Order Date]])</f>
        <v>2023</v>
      </c>
    </row>
    <row r="515" spans="1:13">
      <c r="A515" t="s">
        <v>1030</v>
      </c>
      <c r="B515" s="1">
        <v>45177</v>
      </c>
      <c r="C515" t="s">
        <v>39</v>
      </c>
      <c r="D515" t="s">
        <v>21</v>
      </c>
      <c r="E515" t="s">
        <v>89</v>
      </c>
      <c r="F515" t="s">
        <v>1031</v>
      </c>
      <c r="G515">
        <v>1809.14</v>
      </c>
      <c r="H515">
        <v>1</v>
      </c>
      <c r="I515">
        <v>436.94</v>
      </c>
      <c r="J515" t="s">
        <v>18</v>
      </c>
      <c r="K515" s="6">
        <f>tblSales[[#This Row],[Profit]]/tblSales[[#This Row],[Sales]]</f>
        <v>0.24151806935892189</v>
      </c>
      <c r="L515" t="str">
        <f>TEXT(tblSales[[#This Row],[Order Date]],"mmm")</f>
        <v>Sep</v>
      </c>
      <c r="M515">
        <f>YEAR(tblSales[[#This Row],[Order Date]])</f>
        <v>2023</v>
      </c>
    </row>
    <row r="516" spans="1:13">
      <c r="A516" t="s">
        <v>1032</v>
      </c>
      <c r="B516" s="1">
        <v>45178</v>
      </c>
      <c r="C516" t="s">
        <v>14</v>
      </c>
      <c r="D516" t="s">
        <v>26</v>
      </c>
      <c r="E516" t="s">
        <v>27</v>
      </c>
      <c r="F516" t="s">
        <v>1033</v>
      </c>
      <c r="G516">
        <v>1816.25</v>
      </c>
      <c r="H516">
        <v>7</v>
      </c>
      <c r="I516">
        <v>167.59</v>
      </c>
      <c r="J516" t="s">
        <v>24</v>
      </c>
      <c r="K516" s="6">
        <f>tblSales[[#This Row],[Profit]]/tblSales[[#This Row],[Sales]]</f>
        <v>9.2272539573296633E-2</v>
      </c>
      <c r="L516" t="str">
        <f>TEXT(tblSales[[#This Row],[Order Date]],"mmm")</f>
        <v>Sep</v>
      </c>
      <c r="M516">
        <f>YEAR(tblSales[[#This Row],[Order Date]])</f>
        <v>2023</v>
      </c>
    </row>
    <row r="517" spans="1:13">
      <c r="A517" t="s">
        <v>1034</v>
      </c>
      <c r="B517" s="1">
        <v>45179</v>
      </c>
      <c r="C517" t="s">
        <v>20</v>
      </c>
      <c r="D517" t="s">
        <v>26</v>
      </c>
      <c r="E517" t="s">
        <v>34</v>
      </c>
      <c r="F517" t="s">
        <v>132</v>
      </c>
      <c r="G517">
        <v>771.42</v>
      </c>
      <c r="H517">
        <v>4</v>
      </c>
      <c r="I517">
        <v>112.17</v>
      </c>
      <c r="J517" t="s">
        <v>24</v>
      </c>
      <c r="K517" s="6">
        <f>tblSales[[#This Row],[Profit]]/tblSales[[#This Row],[Sales]]</f>
        <v>0.14540717119079102</v>
      </c>
      <c r="L517" t="str">
        <f>TEXT(tblSales[[#This Row],[Order Date]],"mmm")</f>
        <v>Sep</v>
      </c>
      <c r="M517">
        <f>YEAR(tblSales[[#This Row],[Order Date]])</f>
        <v>2023</v>
      </c>
    </row>
    <row r="518" spans="1:13">
      <c r="A518" t="s">
        <v>1035</v>
      </c>
      <c r="B518" s="1">
        <v>45180</v>
      </c>
      <c r="C518" t="s">
        <v>33</v>
      </c>
      <c r="D518" t="s">
        <v>26</v>
      </c>
      <c r="E518" t="s">
        <v>49</v>
      </c>
      <c r="F518" t="s">
        <v>1036</v>
      </c>
      <c r="G518">
        <v>837.27</v>
      </c>
      <c r="H518">
        <v>4</v>
      </c>
      <c r="I518">
        <v>45.63</v>
      </c>
      <c r="J518" t="s">
        <v>24</v>
      </c>
      <c r="K518" s="6">
        <f>tblSales[[#This Row],[Profit]]/tblSales[[#This Row],[Sales]]</f>
        <v>5.4498548855208002E-2</v>
      </c>
      <c r="L518" t="str">
        <f>TEXT(tblSales[[#This Row],[Order Date]],"mmm")</f>
        <v>Sep</v>
      </c>
      <c r="M518">
        <f>YEAR(tblSales[[#This Row],[Order Date]])</f>
        <v>2023</v>
      </c>
    </row>
    <row r="519" spans="1:13">
      <c r="A519" t="s">
        <v>1037</v>
      </c>
      <c r="B519" s="1">
        <v>45181</v>
      </c>
      <c r="C519" t="s">
        <v>14</v>
      </c>
      <c r="D519" t="s">
        <v>73</v>
      </c>
      <c r="E519" t="s">
        <v>74</v>
      </c>
      <c r="F519" t="s">
        <v>1038</v>
      </c>
      <c r="G519">
        <v>73.81</v>
      </c>
      <c r="H519">
        <v>6</v>
      </c>
      <c r="I519">
        <v>8.86</v>
      </c>
      <c r="J519" t="s">
        <v>29</v>
      </c>
      <c r="K519" s="6">
        <f>tblSales[[#This Row],[Profit]]/tblSales[[#This Row],[Sales]]</f>
        <v>0.12003793523912748</v>
      </c>
      <c r="L519" t="str">
        <f>TEXT(tblSales[[#This Row],[Order Date]],"mmm")</f>
        <v>Sep</v>
      </c>
      <c r="M519">
        <f>YEAR(tblSales[[#This Row],[Order Date]])</f>
        <v>2023</v>
      </c>
    </row>
    <row r="520" spans="1:13">
      <c r="A520" t="s">
        <v>1039</v>
      </c>
      <c r="B520" s="1">
        <v>45182</v>
      </c>
      <c r="C520" t="s">
        <v>39</v>
      </c>
      <c r="D520" t="s">
        <v>21</v>
      </c>
      <c r="E520" t="s">
        <v>57</v>
      </c>
      <c r="F520" t="s">
        <v>289</v>
      </c>
      <c r="G520">
        <v>1823.32</v>
      </c>
      <c r="H520">
        <v>3</v>
      </c>
      <c r="I520">
        <v>458.07</v>
      </c>
      <c r="J520" t="s">
        <v>24</v>
      </c>
      <c r="K520" s="6">
        <f>tblSales[[#This Row],[Profit]]/tblSales[[#This Row],[Sales]]</f>
        <v>0.25122852817936514</v>
      </c>
      <c r="L520" t="str">
        <f>TEXT(tblSales[[#This Row],[Order Date]],"mmm")</f>
        <v>Sep</v>
      </c>
      <c r="M520">
        <f>YEAR(tblSales[[#This Row],[Order Date]])</f>
        <v>2023</v>
      </c>
    </row>
    <row r="521" spans="1:13">
      <c r="A521" t="s">
        <v>1040</v>
      </c>
      <c r="B521" s="1">
        <v>45183</v>
      </c>
      <c r="C521" t="s">
        <v>39</v>
      </c>
      <c r="D521" t="s">
        <v>26</v>
      </c>
      <c r="E521" t="s">
        <v>34</v>
      </c>
      <c r="F521" t="s">
        <v>965</v>
      </c>
      <c r="G521">
        <v>1250.26</v>
      </c>
      <c r="H521">
        <v>9</v>
      </c>
      <c r="I521">
        <v>157.77000000000001</v>
      </c>
      <c r="J521" t="s">
        <v>18</v>
      </c>
      <c r="K521" s="6">
        <f>tblSales[[#This Row],[Profit]]/tblSales[[#This Row],[Sales]]</f>
        <v>0.12618975253147346</v>
      </c>
      <c r="L521" t="str">
        <f>TEXT(tblSales[[#This Row],[Order Date]],"mmm")</f>
        <v>Sep</v>
      </c>
      <c r="M521">
        <f>YEAR(tblSales[[#This Row],[Order Date]])</f>
        <v>2023</v>
      </c>
    </row>
    <row r="522" spans="1:13">
      <c r="A522" t="s">
        <v>1041</v>
      </c>
      <c r="B522" s="1">
        <v>45184</v>
      </c>
      <c r="C522" t="s">
        <v>33</v>
      </c>
      <c r="D522" t="s">
        <v>26</v>
      </c>
      <c r="E522" t="s">
        <v>34</v>
      </c>
      <c r="F522" t="s">
        <v>1042</v>
      </c>
      <c r="G522">
        <v>577.41</v>
      </c>
      <c r="H522">
        <v>4</v>
      </c>
      <c r="I522">
        <v>45.12</v>
      </c>
      <c r="J522" t="s">
        <v>29</v>
      </c>
      <c r="K522" s="6">
        <f>tblSales[[#This Row],[Profit]]/tblSales[[#This Row],[Sales]]</f>
        <v>7.8142048111393983E-2</v>
      </c>
      <c r="L522" t="str">
        <f>TEXT(tblSales[[#This Row],[Order Date]],"mmm")</f>
        <v>Sep</v>
      </c>
      <c r="M522">
        <f>YEAR(tblSales[[#This Row],[Order Date]])</f>
        <v>2023</v>
      </c>
    </row>
    <row r="523" spans="1:13">
      <c r="A523" t="s">
        <v>1043</v>
      </c>
      <c r="B523" s="1">
        <v>45185</v>
      </c>
      <c r="C523" t="s">
        <v>14</v>
      </c>
      <c r="D523" t="s">
        <v>73</v>
      </c>
      <c r="E523" t="s">
        <v>84</v>
      </c>
      <c r="F523" t="s">
        <v>1044</v>
      </c>
      <c r="G523">
        <v>155.32</v>
      </c>
      <c r="H523">
        <v>1</v>
      </c>
      <c r="I523">
        <v>17.16</v>
      </c>
      <c r="J523" t="s">
        <v>18</v>
      </c>
      <c r="K523" s="6">
        <f>tblSales[[#This Row],[Profit]]/tblSales[[#This Row],[Sales]]</f>
        <v>0.1104815864022663</v>
      </c>
      <c r="L523" t="str">
        <f>TEXT(tblSales[[#This Row],[Order Date]],"mmm")</f>
        <v>Sep</v>
      </c>
      <c r="M523">
        <f>YEAR(tblSales[[#This Row],[Order Date]])</f>
        <v>2023</v>
      </c>
    </row>
    <row r="524" spans="1:13">
      <c r="A524" t="s">
        <v>1045</v>
      </c>
      <c r="B524" s="1">
        <v>45186</v>
      </c>
      <c r="C524" t="s">
        <v>33</v>
      </c>
      <c r="D524" t="s">
        <v>15</v>
      </c>
      <c r="E524" t="s">
        <v>60</v>
      </c>
      <c r="F524" t="s">
        <v>1046</v>
      </c>
      <c r="G524">
        <v>948.16</v>
      </c>
      <c r="H524">
        <v>9</v>
      </c>
      <c r="I524">
        <v>242.86</v>
      </c>
      <c r="J524" t="s">
        <v>18</v>
      </c>
      <c r="K524" s="6">
        <f>tblSales[[#This Row],[Profit]]/tblSales[[#This Row],[Sales]]</f>
        <v>0.25613820452244351</v>
      </c>
      <c r="L524" t="str">
        <f>TEXT(tblSales[[#This Row],[Order Date]],"mmm")</f>
        <v>Sep</v>
      </c>
      <c r="M524">
        <f>YEAR(tblSales[[#This Row],[Order Date]])</f>
        <v>2023</v>
      </c>
    </row>
    <row r="525" spans="1:13">
      <c r="A525" t="s">
        <v>1047</v>
      </c>
      <c r="B525" s="1">
        <v>45187</v>
      </c>
      <c r="C525" t="s">
        <v>39</v>
      </c>
      <c r="D525" t="s">
        <v>21</v>
      </c>
      <c r="E525" t="s">
        <v>89</v>
      </c>
      <c r="F525" t="s">
        <v>1048</v>
      </c>
      <c r="G525">
        <v>115.32</v>
      </c>
      <c r="H525">
        <v>4</v>
      </c>
      <c r="I525">
        <v>31.06</v>
      </c>
      <c r="J525" t="s">
        <v>29</v>
      </c>
      <c r="K525" s="6">
        <f>tblSales[[#This Row],[Profit]]/tblSales[[#This Row],[Sales]]</f>
        <v>0.26933749566423865</v>
      </c>
      <c r="L525" t="str">
        <f>TEXT(tblSales[[#This Row],[Order Date]],"mmm")</f>
        <v>Sep</v>
      </c>
      <c r="M525">
        <f>YEAR(tblSales[[#This Row],[Order Date]])</f>
        <v>2023</v>
      </c>
    </row>
    <row r="526" spans="1:13">
      <c r="A526" t="s">
        <v>1049</v>
      </c>
      <c r="B526" s="1">
        <v>45188</v>
      </c>
      <c r="C526" t="s">
        <v>14</v>
      </c>
      <c r="D526" t="s">
        <v>21</v>
      </c>
      <c r="E526" t="s">
        <v>89</v>
      </c>
      <c r="F526" t="s">
        <v>1050</v>
      </c>
      <c r="G526">
        <v>674.21</v>
      </c>
      <c r="H526">
        <v>6</v>
      </c>
      <c r="I526">
        <v>184.11</v>
      </c>
      <c r="J526" t="s">
        <v>24</v>
      </c>
      <c r="K526" s="6">
        <f>tblSales[[#This Row],[Profit]]/tblSales[[#This Row],[Sales]]</f>
        <v>0.27307515462541343</v>
      </c>
      <c r="L526" t="str">
        <f>TEXT(tblSales[[#This Row],[Order Date]],"mmm")</f>
        <v>Sep</v>
      </c>
      <c r="M526">
        <f>YEAR(tblSales[[#This Row],[Order Date]])</f>
        <v>2023</v>
      </c>
    </row>
    <row r="527" spans="1:13">
      <c r="A527" t="s">
        <v>1051</v>
      </c>
      <c r="B527" s="1">
        <v>45189</v>
      </c>
      <c r="C527" t="s">
        <v>20</v>
      </c>
      <c r="D527" t="s">
        <v>40</v>
      </c>
      <c r="E527" t="s">
        <v>92</v>
      </c>
      <c r="F527" t="s">
        <v>924</v>
      </c>
      <c r="G527">
        <v>1072.01</v>
      </c>
      <c r="H527">
        <v>1</v>
      </c>
      <c r="I527">
        <v>130.06</v>
      </c>
      <c r="J527" t="s">
        <v>18</v>
      </c>
      <c r="K527" s="6">
        <f>tblSales[[#This Row],[Profit]]/tblSales[[#This Row],[Sales]]</f>
        <v>0.12132349511665004</v>
      </c>
      <c r="L527" t="str">
        <f>TEXT(tblSales[[#This Row],[Order Date]],"mmm")</f>
        <v>Sep</v>
      </c>
      <c r="M527">
        <f>YEAR(tblSales[[#This Row],[Order Date]])</f>
        <v>2023</v>
      </c>
    </row>
    <row r="528" spans="1:13">
      <c r="A528" t="s">
        <v>1052</v>
      </c>
      <c r="B528" s="1">
        <v>45190</v>
      </c>
      <c r="C528" t="s">
        <v>33</v>
      </c>
      <c r="D528" t="s">
        <v>73</v>
      </c>
      <c r="E528" t="s">
        <v>84</v>
      </c>
      <c r="F528" t="s">
        <v>1053</v>
      </c>
      <c r="G528">
        <v>550.20000000000005</v>
      </c>
      <c r="H528">
        <v>2</v>
      </c>
      <c r="I528">
        <v>106.37</v>
      </c>
      <c r="J528" t="s">
        <v>18</v>
      </c>
      <c r="K528" s="6">
        <f>tblSales[[#This Row],[Profit]]/tblSales[[#This Row],[Sales]]</f>
        <v>0.19332969829153035</v>
      </c>
      <c r="L528" t="str">
        <f>TEXT(tblSales[[#This Row],[Order Date]],"mmm")</f>
        <v>Sep</v>
      </c>
      <c r="M528">
        <f>YEAR(tblSales[[#This Row],[Order Date]])</f>
        <v>2023</v>
      </c>
    </row>
    <row r="529" spans="1:13">
      <c r="A529" t="s">
        <v>1054</v>
      </c>
      <c r="B529" s="1">
        <v>45191</v>
      </c>
      <c r="C529" t="s">
        <v>20</v>
      </c>
      <c r="D529" t="s">
        <v>73</v>
      </c>
      <c r="E529" t="s">
        <v>84</v>
      </c>
      <c r="F529" t="s">
        <v>1055</v>
      </c>
      <c r="G529">
        <v>519.57000000000005</v>
      </c>
      <c r="H529">
        <v>5</v>
      </c>
      <c r="I529">
        <v>103.78</v>
      </c>
      <c r="J529" t="s">
        <v>18</v>
      </c>
      <c r="K529" s="6">
        <f>tblSales[[#This Row],[Profit]]/tblSales[[#This Row],[Sales]]</f>
        <v>0.19974209442423541</v>
      </c>
      <c r="L529" t="str">
        <f>TEXT(tblSales[[#This Row],[Order Date]],"mmm")</f>
        <v>Sep</v>
      </c>
      <c r="M529">
        <f>YEAR(tblSales[[#This Row],[Order Date]])</f>
        <v>2023</v>
      </c>
    </row>
    <row r="530" spans="1:13">
      <c r="A530" t="s">
        <v>1056</v>
      </c>
      <c r="B530" s="1">
        <v>45192</v>
      </c>
      <c r="C530" t="s">
        <v>20</v>
      </c>
      <c r="D530" t="s">
        <v>26</v>
      </c>
      <c r="E530" t="s">
        <v>49</v>
      </c>
      <c r="F530" t="s">
        <v>1057</v>
      </c>
      <c r="G530">
        <v>84.64</v>
      </c>
      <c r="H530">
        <v>3</v>
      </c>
      <c r="I530">
        <v>21.78</v>
      </c>
      <c r="J530" t="s">
        <v>24</v>
      </c>
      <c r="K530" s="6">
        <f>tblSales[[#This Row],[Profit]]/tblSales[[#This Row],[Sales]]</f>
        <v>0.2573251417769376</v>
      </c>
      <c r="L530" t="str">
        <f>TEXT(tblSales[[#This Row],[Order Date]],"mmm")</f>
        <v>Sep</v>
      </c>
      <c r="M530">
        <f>YEAR(tblSales[[#This Row],[Order Date]])</f>
        <v>2023</v>
      </c>
    </row>
    <row r="531" spans="1:13">
      <c r="A531" t="s">
        <v>1058</v>
      </c>
      <c r="B531" s="1">
        <v>45193</v>
      </c>
      <c r="C531" t="s">
        <v>39</v>
      </c>
      <c r="D531" t="s">
        <v>21</v>
      </c>
      <c r="E531" t="s">
        <v>57</v>
      </c>
      <c r="F531" t="s">
        <v>1059</v>
      </c>
      <c r="G531">
        <v>69.78</v>
      </c>
      <c r="H531">
        <v>7</v>
      </c>
      <c r="I531">
        <v>11</v>
      </c>
      <c r="J531" t="s">
        <v>18</v>
      </c>
      <c r="K531" s="6">
        <f>tblSales[[#This Row],[Profit]]/tblSales[[#This Row],[Sales]]</f>
        <v>0.15763829177414732</v>
      </c>
      <c r="L531" t="str">
        <f>TEXT(tblSales[[#This Row],[Order Date]],"mmm")</f>
        <v>Sep</v>
      </c>
      <c r="M531">
        <f>YEAR(tblSales[[#This Row],[Order Date]])</f>
        <v>2023</v>
      </c>
    </row>
    <row r="532" spans="1:13">
      <c r="A532" t="s">
        <v>1060</v>
      </c>
      <c r="B532" s="1">
        <v>45194</v>
      </c>
      <c r="C532" t="s">
        <v>33</v>
      </c>
      <c r="D532" t="s">
        <v>40</v>
      </c>
      <c r="E532" t="s">
        <v>44</v>
      </c>
      <c r="F532" t="s">
        <v>1061</v>
      </c>
      <c r="G532">
        <v>880.5</v>
      </c>
      <c r="H532">
        <v>9</v>
      </c>
      <c r="I532">
        <v>119.05</v>
      </c>
      <c r="J532" t="s">
        <v>24</v>
      </c>
      <c r="K532" s="6">
        <f>tblSales[[#This Row],[Profit]]/tblSales[[#This Row],[Sales]]</f>
        <v>0.13520726859738785</v>
      </c>
      <c r="L532" t="str">
        <f>TEXT(tblSales[[#This Row],[Order Date]],"mmm")</f>
        <v>Sep</v>
      </c>
      <c r="M532">
        <f>YEAR(tblSales[[#This Row],[Order Date]])</f>
        <v>2023</v>
      </c>
    </row>
    <row r="533" spans="1:13">
      <c r="A533" t="s">
        <v>1062</v>
      </c>
      <c r="B533" s="1">
        <v>45195</v>
      </c>
      <c r="C533" t="s">
        <v>14</v>
      </c>
      <c r="D533" t="s">
        <v>26</v>
      </c>
      <c r="E533" t="s">
        <v>27</v>
      </c>
      <c r="F533" t="s">
        <v>1063</v>
      </c>
      <c r="G533">
        <v>1222.04</v>
      </c>
      <c r="H533">
        <v>3</v>
      </c>
      <c r="I533">
        <v>197.13</v>
      </c>
      <c r="J533" t="s">
        <v>29</v>
      </c>
      <c r="K533" s="6">
        <f>tblSales[[#This Row],[Profit]]/tblSales[[#This Row],[Sales]]</f>
        <v>0.16131223200549899</v>
      </c>
      <c r="L533" t="str">
        <f>TEXT(tblSales[[#This Row],[Order Date]],"mmm")</f>
        <v>Sep</v>
      </c>
      <c r="M533">
        <f>YEAR(tblSales[[#This Row],[Order Date]])</f>
        <v>2023</v>
      </c>
    </row>
    <row r="534" spans="1:13">
      <c r="A534" t="s">
        <v>1064</v>
      </c>
      <c r="B534" s="1">
        <v>45196</v>
      </c>
      <c r="C534" t="s">
        <v>33</v>
      </c>
      <c r="D534" t="s">
        <v>21</v>
      </c>
      <c r="E534" t="s">
        <v>22</v>
      </c>
      <c r="F534" t="s">
        <v>1065</v>
      </c>
      <c r="G534">
        <v>1286.42</v>
      </c>
      <c r="H534">
        <v>7</v>
      </c>
      <c r="I534">
        <v>229.1</v>
      </c>
      <c r="J534" t="s">
        <v>24</v>
      </c>
      <c r="K534" s="6">
        <f>tblSales[[#This Row],[Profit]]/tblSales[[#This Row],[Sales]]</f>
        <v>0.17809113664277607</v>
      </c>
      <c r="L534" t="str">
        <f>TEXT(tblSales[[#This Row],[Order Date]],"mmm")</f>
        <v>Sep</v>
      </c>
      <c r="M534">
        <f>YEAR(tblSales[[#This Row],[Order Date]])</f>
        <v>2023</v>
      </c>
    </row>
    <row r="535" spans="1:13">
      <c r="A535" t="s">
        <v>1066</v>
      </c>
      <c r="B535" s="1">
        <v>45197</v>
      </c>
      <c r="C535" t="s">
        <v>14</v>
      </c>
      <c r="D535" t="s">
        <v>26</v>
      </c>
      <c r="E535" t="s">
        <v>27</v>
      </c>
      <c r="F535" t="s">
        <v>1067</v>
      </c>
      <c r="G535">
        <v>781.33</v>
      </c>
      <c r="H535">
        <v>3</v>
      </c>
      <c r="I535">
        <v>166.47</v>
      </c>
      <c r="J535" t="s">
        <v>29</v>
      </c>
      <c r="K535" s="6">
        <f>tblSales[[#This Row],[Profit]]/tblSales[[#This Row],[Sales]]</f>
        <v>0.21305978267825373</v>
      </c>
      <c r="L535" t="str">
        <f>TEXT(tblSales[[#This Row],[Order Date]],"mmm")</f>
        <v>Sep</v>
      </c>
      <c r="M535">
        <f>YEAR(tblSales[[#This Row],[Order Date]])</f>
        <v>2023</v>
      </c>
    </row>
    <row r="536" spans="1:13">
      <c r="A536" t="s">
        <v>1068</v>
      </c>
      <c r="B536" s="1">
        <v>45198</v>
      </c>
      <c r="C536" t="s">
        <v>20</v>
      </c>
      <c r="D536" t="s">
        <v>73</v>
      </c>
      <c r="E536" t="s">
        <v>164</v>
      </c>
      <c r="F536" t="s">
        <v>1069</v>
      </c>
      <c r="G536">
        <v>956.34</v>
      </c>
      <c r="H536">
        <v>9</v>
      </c>
      <c r="I536">
        <v>168.86</v>
      </c>
      <c r="J536" t="s">
        <v>18</v>
      </c>
      <c r="K536" s="6">
        <f>tblSales[[#This Row],[Profit]]/tblSales[[#This Row],[Sales]]</f>
        <v>0.17656900265595918</v>
      </c>
      <c r="L536" t="str">
        <f>TEXT(tblSales[[#This Row],[Order Date]],"mmm")</f>
        <v>Sep</v>
      </c>
      <c r="M536">
        <f>YEAR(tblSales[[#This Row],[Order Date]])</f>
        <v>2023</v>
      </c>
    </row>
    <row r="537" spans="1:13">
      <c r="A537" t="s">
        <v>1070</v>
      </c>
      <c r="B537" s="1">
        <v>45199</v>
      </c>
      <c r="C537" t="s">
        <v>39</v>
      </c>
      <c r="D537" t="s">
        <v>26</v>
      </c>
      <c r="E537" t="s">
        <v>27</v>
      </c>
      <c r="F537" t="s">
        <v>1071</v>
      </c>
      <c r="G537">
        <v>160.44999999999999</v>
      </c>
      <c r="H537">
        <v>9</v>
      </c>
      <c r="I537">
        <v>8.14</v>
      </c>
      <c r="J537" t="s">
        <v>29</v>
      </c>
      <c r="K537" s="6">
        <f>tblSales[[#This Row],[Profit]]/tblSales[[#This Row],[Sales]]</f>
        <v>5.0732315363041451E-2</v>
      </c>
      <c r="L537" t="str">
        <f>TEXT(tblSales[[#This Row],[Order Date]],"mmm")</f>
        <v>Sep</v>
      </c>
      <c r="M537">
        <f>YEAR(tblSales[[#This Row],[Order Date]])</f>
        <v>2023</v>
      </c>
    </row>
    <row r="538" spans="1:13">
      <c r="A538" t="s">
        <v>1072</v>
      </c>
      <c r="B538" s="1">
        <v>45200</v>
      </c>
      <c r="C538" t="s">
        <v>20</v>
      </c>
      <c r="D538" t="s">
        <v>73</v>
      </c>
      <c r="E538" t="s">
        <v>164</v>
      </c>
      <c r="F538" t="s">
        <v>802</v>
      </c>
      <c r="G538">
        <v>1216.06</v>
      </c>
      <c r="H538">
        <v>8</v>
      </c>
      <c r="I538">
        <v>133.41999999999999</v>
      </c>
      <c r="J538" t="s">
        <v>29</v>
      </c>
      <c r="K538" s="6">
        <f>tblSales[[#This Row],[Profit]]/tblSales[[#This Row],[Sales]]</f>
        <v>0.10971498116869233</v>
      </c>
      <c r="L538" t="str">
        <f>TEXT(tblSales[[#This Row],[Order Date]],"mmm")</f>
        <v>Oct</v>
      </c>
      <c r="M538">
        <f>YEAR(tblSales[[#This Row],[Order Date]])</f>
        <v>2023</v>
      </c>
    </row>
    <row r="539" spans="1:13">
      <c r="A539" t="s">
        <v>1073</v>
      </c>
      <c r="B539" s="1">
        <v>45201</v>
      </c>
      <c r="C539" t="s">
        <v>39</v>
      </c>
      <c r="D539" t="s">
        <v>26</v>
      </c>
      <c r="E539" t="s">
        <v>34</v>
      </c>
      <c r="F539" t="s">
        <v>1074</v>
      </c>
      <c r="G539">
        <v>911.92</v>
      </c>
      <c r="H539">
        <v>1</v>
      </c>
      <c r="I539">
        <v>187.52</v>
      </c>
      <c r="J539" t="s">
        <v>18</v>
      </c>
      <c r="K539" s="6">
        <f>tblSales[[#This Row],[Profit]]/tblSales[[#This Row],[Sales]]</f>
        <v>0.20563207298885869</v>
      </c>
      <c r="L539" t="str">
        <f>TEXT(tblSales[[#This Row],[Order Date]],"mmm")</f>
        <v>Oct</v>
      </c>
      <c r="M539">
        <f>YEAR(tblSales[[#This Row],[Order Date]])</f>
        <v>2023</v>
      </c>
    </row>
    <row r="540" spans="1:13">
      <c r="A540" t="s">
        <v>1075</v>
      </c>
      <c r="B540" s="1">
        <v>45202</v>
      </c>
      <c r="C540" t="s">
        <v>20</v>
      </c>
      <c r="D540" t="s">
        <v>26</v>
      </c>
      <c r="E540" t="s">
        <v>27</v>
      </c>
      <c r="F540" t="s">
        <v>1076</v>
      </c>
      <c r="G540">
        <v>905.99</v>
      </c>
      <c r="H540">
        <v>4</v>
      </c>
      <c r="I540">
        <v>92.18</v>
      </c>
      <c r="J540" t="s">
        <v>24</v>
      </c>
      <c r="K540" s="6">
        <f>tblSales[[#This Row],[Profit]]/tblSales[[#This Row],[Sales]]</f>
        <v>0.10174505237364652</v>
      </c>
      <c r="L540" t="str">
        <f>TEXT(tblSales[[#This Row],[Order Date]],"mmm")</f>
        <v>Oct</v>
      </c>
      <c r="M540">
        <f>YEAR(tblSales[[#This Row],[Order Date]])</f>
        <v>2023</v>
      </c>
    </row>
    <row r="541" spans="1:13">
      <c r="A541" t="s">
        <v>1077</v>
      </c>
      <c r="B541" s="1">
        <v>45203</v>
      </c>
      <c r="C541" t="s">
        <v>14</v>
      </c>
      <c r="D541" t="s">
        <v>40</v>
      </c>
      <c r="E541" t="s">
        <v>41</v>
      </c>
      <c r="F541" t="s">
        <v>1078</v>
      </c>
      <c r="G541">
        <v>30.9</v>
      </c>
      <c r="H541">
        <v>1</v>
      </c>
      <c r="I541">
        <v>3.24</v>
      </c>
      <c r="J541" t="s">
        <v>18</v>
      </c>
      <c r="K541" s="6">
        <f>tblSales[[#This Row],[Profit]]/tblSales[[#This Row],[Sales]]</f>
        <v>0.10485436893203885</v>
      </c>
      <c r="L541" t="str">
        <f>TEXT(tblSales[[#This Row],[Order Date]],"mmm")</f>
        <v>Oct</v>
      </c>
      <c r="M541">
        <f>YEAR(tblSales[[#This Row],[Order Date]])</f>
        <v>2023</v>
      </c>
    </row>
    <row r="542" spans="1:13">
      <c r="A542" t="s">
        <v>1079</v>
      </c>
      <c r="B542" s="1">
        <v>45204</v>
      </c>
      <c r="C542" t="s">
        <v>33</v>
      </c>
      <c r="D542" t="s">
        <v>15</v>
      </c>
      <c r="E542" t="s">
        <v>60</v>
      </c>
      <c r="F542" t="s">
        <v>579</v>
      </c>
      <c r="G542">
        <v>233.89</v>
      </c>
      <c r="H542">
        <v>7</v>
      </c>
      <c r="I542">
        <v>58.62</v>
      </c>
      <c r="J542" t="s">
        <v>18</v>
      </c>
      <c r="K542" s="6">
        <f>tblSales[[#This Row],[Profit]]/tblSales[[#This Row],[Sales]]</f>
        <v>0.25063063833425969</v>
      </c>
      <c r="L542" t="str">
        <f>TEXT(tblSales[[#This Row],[Order Date]],"mmm")</f>
        <v>Oct</v>
      </c>
      <c r="M542">
        <f>YEAR(tblSales[[#This Row],[Order Date]])</f>
        <v>2023</v>
      </c>
    </row>
    <row r="543" spans="1:13">
      <c r="A543" t="s">
        <v>1080</v>
      </c>
      <c r="B543" s="1">
        <v>45205</v>
      </c>
      <c r="C543" t="s">
        <v>20</v>
      </c>
      <c r="D543" t="s">
        <v>15</v>
      </c>
      <c r="E543" t="s">
        <v>60</v>
      </c>
      <c r="F543" t="s">
        <v>1081</v>
      </c>
      <c r="G543">
        <v>805.66</v>
      </c>
      <c r="H543">
        <v>6</v>
      </c>
      <c r="I543">
        <v>227.95</v>
      </c>
      <c r="J543" t="s">
        <v>24</v>
      </c>
      <c r="K543" s="6">
        <f>tblSales[[#This Row],[Profit]]/tblSales[[#This Row],[Sales]]</f>
        <v>0.28293572971228559</v>
      </c>
      <c r="L543" t="str">
        <f>TEXT(tblSales[[#This Row],[Order Date]],"mmm")</f>
        <v>Oct</v>
      </c>
      <c r="M543">
        <f>YEAR(tblSales[[#This Row],[Order Date]])</f>
        <v>2023</v>
      </c>
    </row>
    <row r="544" spans="1:13">
      <c r="A544" t="s">
        <v>1082</v>
      </c>
      <c r="B544" s="1">
        <v>45206</v>
      </c>
      <c r="C544" t="s">
        <v>39</v>
      </c>
      <c r="D544" t="s">
        <v>40</v>
      </c>
      <c r="E544" t="s">
        <v>44</v>
      </c>
      <c r="F544" t="s">
        <v>1083</v>
      </c>
      <c r="G544">
        <v>583.42999999999995</v>
      </c>
      <c r="H544">
        <v>1</v>
      </c>
      <c r="I544">
        <v>45.78</v>
      </c>
      <c r="J544" t="s">
        <v>29</v>
      </c>
      <c r="K544" s="6">
        <f>tblSales[[#This Row],[Profit]]/tblSales[[#This Row],[Sales]]</f>
        <v>7.8466996897656974E-2</v>
      </c>
      <c r="L544" t="str">
        <f>TEXT(tblSales[[#This Row],[Order Date]],"mmm")</f>
        <v>Oct</v>
      </c>
      <c r="M544">
        <f>YEAR(tblSales[[#This Row],[Order Date]])</f>
        <v>2023</v>
      </c>
    </row>
    <row r="545" spans="1:13">
      <c r="A545" t="s">
        <v>1084</v>
      </c>
      <c r="B545" s="1">
        <v>45207</v>
      </c>
      <c r="C545" t="s">
        <v>14</v>
      </c>
      <c r="D545" t="s">
        <v>73</v>
      </c>
      <c r="E545" t="s">
        <v>84</v>
      </c>
      <c r="F545" t="s">
        <v>1085</v>
      </c>
      <c r="G545">
        <v>1158.06</v>
      </c>
      <c r="H545">
        <v>7</v>
      </c>
      <c r="I545">
        <v>200.79</v>
      </c>
      <c r="J545" t="s">
        <v>24</v>
      </c>
      <c r="K545" s="6">
        <f>tblSales[[#This Row],[Profit]]/tblSales[[#This Row],[Sales]]</f>
        <v>0.17338479871509249</v>
      </c>
      <c r="L545" t="str">
        <f>TEXT(tblSales[[#This Row],[Order Date]],"mmm")</f>
        <v>Oct</v>
      </c>
      <c r="M545">
        <f>YEAR(tblSales[[#This Row],[Order Date]])</f>
        <v>2023</v>
      </c>
    </row>
    <row r="546" spans="1:13">
      <c r="A546" t="s">
        <v>1086</v>
      </c>
      <c r="B546" s="1">
        <v>45208</v>
      </c>
      <c r="C546" t="s">
        <v>39</v>
      </c>
      <c r="D546" t="s">
        <v>15</v>
      </c>
      <c r="E546" t="s">
        <v>60</v>
      </c>
      <c r="F546" t="s">
        <v>1087</v>
      </c>
      <c r="G546">
        <v>912.18</v>
      </c>
      <c r="H546">
        <v>1</v>
      </c>
      <c r="I546">
        <v>134.52000000000001</v>
      </c>
      <c r="J546" t="s">
        <v>24</v>
      </c>
      <c r="K546" s="6">
        <f>tblSales[[#This Row],[Profit]]/tblSales[[#This Row],[Sales]]</f>
        <v>0.14747089390251925</v>
      </c>
      <c r="L546" t="str">
        <f>TEXT(tblSales[[#This Row],[Order Date]],"mmm")</f>
        <v>Oct</v>
      </c>
      <c r="M546">
        <f>YEAR(tblSales[[#This Row],[Order Date]])</f>
        <v>2023</v>
      </c>
    </row>
    <row r="547" spans="1:13">
      <c r="A547" t="s">
        <v>1088</v>
      </c>
      <c r="B547" s="1">
        <v>45209</v>
      </c>
      <c r="C547" t="s">
        <v>14</v>
      </c>
      <c r="D547" t="s">
        <v>21</v>
      </c>
      <c r="E547" t="s">
        <v>89</v>
      </c>
      <c r="F547" t="s">
        <v>1089</v>
      </c>
      <c r="G547">
        <v>1766.87</v>
      </c>
      <c r="H547">
        <v>5</v>
      </c>
      <c r="I547">
        <v>202.38</v>
      </c>
      <c r="J547" t="s">
        <v>29</v>
      </c>
      <c r="K547" s="6">
        <f>tblSales[[#This Row],[Profit]]/tblSales[[#This Row],[Sales]]</f>
        <v>0.11454153389892861</v>
      </c>
      <c r="L547" t="str">
        <f>TEXT(tblSales[[#This Row],[Order Date]],"mmm")</f>
        <v>Oct</v>
      </c>
      <c r="M547">
        <f>YEAR(tblSales[[#This Row],[Order Date]])</f>
        <v>2023</v>
      </c>
    </row>
    <row r="548" spans="1:13">
      <c r="A548" t="s">
        <v>1090</v>
      </c>
      <c r="B548" s="1">
        <v>45210</v>
      </c>
      <c r="C548" t="s">
        <v>14</v>
      </c>
      <c r="D548" t="s">
        <v>21</v>
      </c>
      <c r="E548" t="s">
        <v>57</v>
      </c>
      <c r="F548" t="s">
        <v>364</v>
      </c>
      <c r="G548">
        <v>1651.1</v>
      </c>
      <c r="H548">
        <v>7</v>
      </c>
      <c r="I548">
        <v>476.36</v>
      </c>
      <c r="J548" t="s">
        <v>24</v>
      </c>
      <c r="K548" s="6">
        <f>tblSales[[#This Row],[Profit]]/tblSales[[#This Row],[Sales]]</f>
        <v>0.28851068984313488</v>
      </c>
      <c r="L548" t="str">
        <f>TEXT(tblSales[[#This Row],[Order Date]],"mmm")</f>
        <v>Oct</v>
      </c>
      <c r="M548">
        <f>YEAR(tblSales[[#This Row],[Order Date]])</f>
        <v>2023</v>
      </c>
    </row>
    <row r="549" spans="1:13">
      <c r="A549" t="s">
        <v>1091</v>
      </c>
      <c r="B549" s="1">
        <v>45211</v>
      </c>
      <c r="C549" t="s">
        <v>39</v>
      </c>
      <c r="D549" t="s">
        <v>26</v>
      </c>
      <c r="E549" t="s">
        <v>27</v>
      </c>
      <c r="F549" t="s">
        <v>1092</v>
      </c>
      <c r="G549">
        <v>1728.5</v>
      </c>
      <c r="H549">
        <v>7</v>
      </c>
      <c r="I549">
        <v>396.51</v>
      </c>
      <c r="J549" t="s">
        <v>18</v>
      </c>
      <c r="K549" s="6">
        <f>tblSales[[#This Row],[Profit]]/tblSales[[#This Row],[Sales]]</f>
        <v>0.22939542956320508</v>
      </c>
      <c r="L549" t="str">
        <f>TEXT(tblSales[[#This Row],[Order Date]],"mmm")</f>
        <v>Oct</v>
      </c>
      <c r="M549">
        <f>YEAR(tblSales[[#This Row],[Order Date]])</f>
        <v>2023</v>
      </c>
    </row>
    <row r="550" spans="1:13">
      <c r="A550" t="s">
        <v>1093</v>
      </c>
      <c r="B550" s="1">
        <v>45212</v>
      </c>
      <c r="C550" t="s">
        <v>39</v>
      </c>
      <c r="D550" t="s">
        <v>15</v>
      </c>
      <c r="E550" t="s">
        <v>16</v>
      </c>
      <c r="F550" t="s">
        <v>1094</v>
      </c>
      <c r="G550">
        <v>1215.51</v>
      </c>
      <c r="H550">
        <v>2</v>
      </c>
      <c r="I550">
        <v>138.78</v>
      </c>
      <c r="J550" t="s">
        <v>29</v>
      </c>
      <c r="K550" s="6">
        <f>tblSales[[#This Row],[Profit]]/tblSales[[#This Row],[Sales]]</f>
        <v>0.11417429720857912</v>
      </c>
      <c r="L550" t="str">
        <f>TEXT(tblSales[[#This Row],[Order Date]],"mmm")</f>
        <v>Oct</v>
      </c>
      <c r="M550">
        <f>YEAR(tblSales[[#This Row],[Order Date]])</f>
        <v>2023</v>
      </c>
    </row>
    <row r="551" spans="1:13">
      <c r="A551" t="s">
        <v>1095</v>
      </c>
      <c r="B551" s="1">
        <v>45213</v>
      </c>
      <c r="C551" t="s">
        <v>39</v>
      </c>
      <c r="D551" t="s">
        <v>15</v>
      </c>
      <c r="E551" t="s">
        <v>79</v>
      </c>
      <c r="F551" t="s">
        <v>1096</v>
      </c>
      <c r="G551">
        <v>923.35</v>
      </c>
      <c r="H551">
        <v>2</v>
      </c>
      <c r="I551">
        <v>67.47</v>
      </c>
      <c r="J551" t="s">
        <v>24</v>
      </c>
      <c r="K551" s="6">
        <f>tblSales[[#This Row],[Profit]]/tblSales[[#This Row],[Sales]]</f>
        <v>7.3070883197054196E-2</v>
      </c>
      <c r="L551" t="str">
        <f>TEXT(tblSales[[#This Row],[Order Date]],"mmm")</f>
        <v>Oct</v>
      </c>
      <c r="M551">
        <f>YEAR(tblSales[[#This Row],[Order Date]])</f>
        <v>2023</v>
      </c>
    </row>
    <row r="552" spans="1:13">
      <c r="A552" t="s">
        <v>1097</v>
      </c>
      <c r="B552" s="1">
        <v>45214</v>
      </c>
      <c r="C552" t="s">
        <v>33</v>
      </c>
      <c r="D552" t="s">
        <v>21</v>
      </c>
      <c r="E552" t="s">
        <v>22</v>
      </c>
      <c r="F552" t="s">
        <v>1098</v>
      </c>
      <c r="G552">
        <v>1507.33</v>
      </c>
      <c r="H552">
        <v>1</v>
      </c>
      <c r="I552">
        <v>227.7</v>
      </c>
      <c r="J552" t="s">
        <v>18</v>
      </c>
      <c r="K552" s="6">
        <f>tblSales[[#This Row],[Profit]]/tblSales[[#This Row],[Sales]]</f>
        <v>0.15106181128220098</v>
      </c>
      <c r="L552" t="str">
        <f>TEXT(tblSales[[#This Row],[Order Date]],"mmm")</f>
        <v>Oct</v>
      </c>
      <c r="M552">
        <f>YEAR(tblSales[[#This Row],[Order Date]])</f>
        <v>2023</v>
      </c>
    </row>
    <row r="553" spans="1:13">
      <c r="A553" t="s">
        <v>1099</v>
      </c>
      <c r="B553" s="1">
        <v>45215</v>
      </c>
      <c r="C553" t="s">
        <v>14</v>
      </c>
      <c r="D553" t="s">
        <v>21</v>
      </c>
      <c r="E553" t="s">
        <v>89</v>
      </c>
      <c r="F553" t="s">
        <v>1048</v>
      </c>
      <c r="G553">
        <v>1884.62</v>
      </c>
      <c r="H553">
        <v>9</v>
      </c>
      <c r="I553">
        <v>398.81</v>
      </c>
      <c r="J553" t="s">
        <v>18</v>
      </c>
      <c r="K553" s="6">
        <f>tblSales[[#This Row],[Profit]]/tblSales[[#This Row],[Sales]]</f>
        <v>0.21161295115195639</v>
      </c>
      <c r="L553" t="str">
        <f>TEXT(tblSales[[#This Row],[Order Date]],"mmm")</f>
        <v>Oct</v>
      </c>
      <c r="M553">
        <f>YEAR(tblSales[[#This Row],[Order Date]])</f>
        <v>2023</v>
      </c>
    </row>
    <row r="554" spans="1:13">
      <c r="A554" t="s">
        <v>1100</v>
      </c>
      <c r="B554" s="1">
        <v>45216</v>
      </c>
      <c r="C554" t="s">
        <v>14</v>
      </c>
      <c r="D554" t="s">
        <v>15</v>
      </c>
      <c r="E554" t="s">
        <v>79</v>
      </c>
      <c r="F554" t="s">
        <v>1101</v>
      </c>
      <c r="G554">
        <v>1279.47</v>
      </c>
      <c r="H554">
        <v>6</v>
      </c>
      <c r="I554">
        <v>100.99</v>
      </c>
      <c r="J554" t="s">
        <v>29</v>
      </c>
      <c r="K554" s="6">
        <f>tblSales[[#This Row],[Profit]]/tblSales[[#This Row],[Sales]]</f>
        <v>7.8931119916840556E-2</v>
      </c>
      <c r="L554" t="str">
        <f>TEXT(tblSales[[#This Row],[Order Date]],"mmm")</f>
        <v>Oct</v>
      </c>
      <c r="M554">
        <f>YEAR(tblSales[[#This Row],[Order Date]])</f>
        <v>2023</v>
      </c>
    </row>
    <row r="555" spans="1:13">
      <c r="A555" t="s">
        <v>1102</v>
      </c>
      <c r="B555" s="1">
        <v>45217</v>
      </c>
      <c r="C555" t="s">
        <v>33</v>
      </c>
      <c r="D555" t="s">
        <v>26</v>
      </c>
      <c r="E555" t="s">
        <v>49</v>
      </c>
      <c r="F555" t="s">
        <v>1103</v>
      </c>
      <c r="G555">
        <v>360.26</v>
      </c>
      <c r="H555">
        <v>6</v>
      </c>
      <c r="I555">
        <v>28.87</v>
      </c>
      <c r="J555" t="s">
        <v>29</v>
      </c>
      <c r="K555" s="6">
        <f>tblSales[[#This Row],[Profit]]/tblSales[[#This Row],[Sales]]</f>
        <v>8.0136568034197525E-2</v>
      </c>
      <c r="L555" t="str">
        <f>TEXT(tblSales[[#This Row],[Order Date]],"mmm")</f>
        <v>Oct</v>
      </c>
      <c r="M555">
        <f>YEAR(tblSales[[#This Row],[Order Date]])</f>
        <v>2023</v>
      </c>
    </row>
    <row r="556" spans="1:13">
      <c r="A556" t="s">
        <v>1104</v>
      </c>
      <c r="B556" s="1">
        <v>45218</v>
      </c>
      <c r="C556" t="s">
        <v>33</v>
      </c>
      <c r="D556" t="s">
        <v>73</v>
      </c>
      <c r="E556" t="s">
        <v>74</v>
      </c>
      <c r="F556" t="s">
        <v>1105</v>
      </c>
      <c r="G556">
        <v>151.56</v>
      </c>
      <c r="H556">
        <v>8</v>
      </c>
      <c r="I556">
        <v>38.65</v>
      </c>
      <c r="J556" t="s">
        <v>29</v>
      </c>
      <c r="K556" s="6">
        <f>tblSales[[#This Row],[Profit]]/tblSales[[#This Row],[Sales]]</f>
        <v>0.25501451570335182</v>
      </c>
      <c r="L556" t="str">
        <f>TEXT(tblSales[[#This Row],[Order Date]],"mmm")</f>
        <v>Oct</v>
      </c>
      <c r="M556">
        <f>YEAR(tblSales[[#This Row],[Order Date]])</f>
        <v>2023</v>
      </c>
    </row>
    <row r="557" spans="1:13">
      <c r="A557" t="s">
        <v>1106</v>
      </c>
      <c r="B557" s="1">
        <v>45219</v>
      </c>
      <c r="C557" t="s">
        <v>14</v>
      </c>
      <c r="D557" t="s">
        <v>15</v>
      </c>
      <c r="E557" t="s">
        <v>16</v>
      </c>
      <c r="F557" t="s">
        <v>1107</v>
      </c>
      <c r="G557">
        <v>908.73</v>
      </c>
      <c r="H557">
        <v>7</v>
      </c>
      <c r="I557">
        <v>176.57</v>
      </c>
      <c r="J557" t="s">
        <v>29</v>
      </c>
      <c r="K557" s="6">
        <f>tblSales[[#This Row],[Profit]]/tblSales[[#This Row],[Sales]]</f>
        <v>0.194304138743081</v>
      </c>
      <c r="L557" t="str">
        <f>TEXT(tblSales[[#This Row],[Order Date]],"mmm")</f>
        <v>Oct</v>
      </c>
      <c r="M557">
        <f>YEAR(tblSales[[#This Row],[Order Date]])</f>
        <v>2023</v>
      </c>
    </row>
    <row r="558" spans="1:13">
      <c r="A558" t="s">
        <v>1108</v>
      </c>
      <c r="B558" s="1">
        <v>45220</v>
      </c>
      <c r="C558" t="s">
        <v>20</v>
      </c>
      <c r="D558" t="s">
        <v>15</v>
      </c>
      <c r="E558" t="s">
        <v>16</v>
      </c>
      <c r="F558" t="s">
        <v>1109</v>
      </c>
      <c r="G558">
        <v>1126.1099999999999</v>
      </c>
      <c r="H558">
        <v>9</v>
      </c>
      <c r="I558">
        <v>261.58999999999997</v>
      </c>
      <c r="J558" t="s">
        <v>29</v>
      </c>
      <c r="K558" s="6">
        <f>tblSales[[#This Row],[Profit]]/tblSales[[#This Row],[Sales]]</f>
        <v>0.23229524646792943</v>
      </c>
      <c r="L558" t="str">
        <f>TEXT(tblSales[[#This Row],[Order Date]],"mmm")</f>
        <v>Oct</v>
      </c>
      <c r="M558">
        <f>YEAR(tblSales[[#This Row],[Order Date]])</f>
        <v>2023</v>
      </c>
    </row>
    <row r="559" spans="1:13">
      <c r="A559" t="s">
        <v>1110</v>
      </c>
      <c r="B559" s="1">
        <v>45221</v>
      </c>
      <c r="C559" t="s">
        <v>20</v>
      </c>
      <c r="D559" t="s">
        <v>15</v>
      </c>
      <c r="E559" t="s">
        <v>16</v>
      </c>
      <c r="F559" t="s">
        <v>1111</v>
      </c>
      <c r="G559">
        <v>1694.3</v>
      </c>
      <c r="H559">
        <v>6</v>
      </c>
      <c r="I559">
        <v>445.53</v>
      </c>
      <c r="J559" t="s">
        <v>24</v>
      </c>
      <c r="K559" s="6">
        <f>tblSales[[#This Row],[Profit]]/tblSales[[#This Row],[Sales]]</f>
        <v>0.26295815380983295</v>
      </c>
      <c r="L559" t="str">
        <f>TEXT(tblSales[[#This Row],[Order Date]],"mmm")</f>
        <v>Oct</v>
      </c>
      <c r="M559">
        <f>YEAR(tblSales[[#This Row],[Order Date]])</f>
        <v>2023</v>
      </c>
    </row>
    <row r="560" spans="1:13">
      <c r="A560" t="s">
        <v>1112</v>
      </c>
      <c r="B560" s="1">
        <v>45222</v>
      </c>
      <c r="C560" t="s">
        <v>39</v>
      </c>
      <c r="D560" t="s">
        <v>26</v>
      </c>
      <c r="E560" t="s">
        <v>49</v>
      </c>
      <c r="F560" t="s">
        <v>1113</v>
      </c>
      <c r="G560">
        <v>173.68</v>
      </c>
      <c r="H560">
        <v>9</v>
      </c>
      <c r="I560">
        <v>21.98</v>
      </c>
      <c r="J560" t="s">
        <v>29</v>
      </c>
      <c r="K560" s="6">
        <f>tblSales[[#This Row],[Profit]]/tblSales[[#This Row],[Sales]]</f>
        <v>0.12655458314140949</v>
      </c>
      <c r="L560" t="str">
        <f>TEXT(tblSales[[#This Row],[Order Date]],"mmm")</f>
        <v>Oct</v>
      </c>
      <c r="M560">
        <f>YEAR(tblSales[[#This Row],[Order Date]])</f>
        <v>2023</v>
      </c>
    </row>
    <row r="561" spans="1:13">
      <c r="A561" t="s">
        <v>1114</v>
      </c>
      <c r="B561" s="1">
        <v>45223</v>
      </c>
      <c r="C561" t="s">
        <v>14</v>
      </c>
      <c r="D561" t="s">
        <v>73</v>
      </c>
      <c r="E561" t="s">
        <v>74</v>
      </c>
      <c r="F561" t="s">
        <v>1115</v>
      </c>
      <c r="G561">
        <v>903.91</v>
      </c>
      <c r="H561">
        <v>2</v>
      </c>
      <c r="I561">
        <v>132.03</v>
      </c>
      <c r="J561" t="s">
        <v>18</v>
      </c>
      <c r="K561" s="6">
        <f>tblSales[[#This Row],[Profit]]/tblSales[[#This Row],[Sales]]</f>
        <v>0.14606542686771914</v>
      </c>
      <c r="L561" t="str">
        <f>TEXT(tblSales[[#This Row],[Order Date]],"mmm")</f>
        <v>Oct</v>
      </c>
      <c r="M561">
        <f>YEAR(tblSales[[#This Row],[Order Date]])</f>
        <v>2023</v>
      </c>
    </row>
    <row r="562" spans="1:13">
      <c r="A562" t="s">
        <v>1116</v>
      </c>
      <c r="B562" s="1">
        <v>45224</v>
      </c>
      <c r="C562" t="s">
        <v>33</v>
      </c>
      <c r="D562" t="s">
        <v>26</v>
      </c>
      <c r="E562" t="s">
        <v>49</v>
      </c>
      <c r="F562" t="s">
        <v>1117</v>
      </c>
      <c r="G562">
        <v>1166.95</v>
      </c>
      <c r="H562">
        <v>9</v>
      </c>
      <c r="I562">
        <v>184.08</v>
      </c>
      <c r="J562" t="s">
        <v>24</v>
      </c>
      <c r="K562" s="6">
        <f>tblSales[[#This Row],[Profit]]/tblSales[[#This Row],[Sales]]</f>
        <v>0.15774454775268865</v>
      </c>
      <c r="L562" t="str">
        <f>TEXT(tblSales[[#This Row],[Order Date]],"mmm")</f>
        <v>Oct</v>
      </c>
      <c r="M562">
        <f>YEAR(tblSales[[#This Row],[Order Date]])</f>
        <v>2023</v>
      </c>
    </row>
    <row r="563" spans="1:13">
      <c r="A563" t="s">
        <v>1118</v>
      </c>
      <c r="B563" s="1">
        <v>45225</v>
      </c>
      <c r="C563" t="s">
        <v>14</v>
      </c>
      <c r="D563" t="s">
        <v>15</v>
      </c>
      <c r="E563" t="s">
        <v>60</v>
      </c>
      <c r="F563" t="s">
        <v>1119</v>
      </c>
      <c r="G563">
        <v>1172.75</v>
      </c>
      <c r="H563">
        <v>9</v>
      </c>
      <c r="I563">
        <v>66.680000000000007</v>
      </c>
      <c r="J563" t="s">
        <v>24</v>
      </c>
      <c r="K563" s="6">
        <f>tblSales[[#This Row],[Profit]]/tblSales[[#This Row],[Sales]]</f>
        <v>5.6857812833084637E-2</v>
      </c>
      <c r="L563" t="str">
        <f>TEXT(tblSales[[#This Row],[Order Date]],"mmm")</f>
        <v>Oct</v>
      </c>
      <c r="M563">
        <f>YEAR(tblSales[[#This Row],[Order Date]])</f>
        <v>2023</v>
      </c>
    </row>
    <row r="564" spans="1:13">
      <c r="A564" t="s">
        <v>1120</v>
      </c>
      <c r="B564" s="1">
        <v>45226</v>
      </c>
      <c r="C564" t="s">
        <v>14</v>
      </c>
      <c r="D564" t="s">
        <v>21</v>
      </c>
      <c r="E564" t="s">
        <v>89</v>
      </c>
      <c r="F564" t="s">
        <v>1121</v>
      </c>
      <c r="G564">
        <v>1061.1099999999999</v>
      </c>
      <c r="H564">
        <v>2</v>
      </c>
      <c r="I564">
        <v>97.32</v>
      </c>
      <c r="J564" t="s">
        <v>24</v>
      </c>
      <c r="K564" s="6">
        <f>tblSales[[#This Row],[Profit]]/tblSales[[#This Row],[Sales]]</f>
        <v>9.1715279283014955E-2</v>
      </c>
      <c r="L564" t="str">
        <f>TEXT(tblSales[[#This Row],[Order Date]],"mmm")</f>
        <v>Oct</v>
      </c>
      <c r="M564">
        <f>YEAR(tblSales[[#This Row],[Order Date]])</f>
        <v>2023</v>
      </c>
    </row>
    <row r="565" spans="1:13">
      <c r="A565" t="s">
        <v>1122</v>
      </c>
      <c r="B565" s="1">
        <v>45227</v>
      </c>
      <c r="C565" t="s">
        <v>39</v>
      </c>
      <c r="D565" t="s">
        <v>73</v>
      </c>
      <c r="E565" t="s">
        <v>164</v>
      </c>
      <c r="F565" t="s">
        <v>1123</v>
      </c>
      <c r="G565">
        <v>108.66</v>
      </c>
      <c r="H565">
        <v>1</v>
      </c>
      <c r="I565">
        <v>14.83</v>
      </c>
      <c r="J565" t="s">
        <v>24</v>
      </c>
      <c r="K565" s="6">
        <f>tblSales[[#This Row],[Profit]]/tblSales[[#This Row],[Sales]]</f>
        <v>0.1364807656911467</v>
      </c>
      <c r="L565" t="str">
        <f>TEXT(tblSales[[#This Row],[Order Date]],"mmm")</f>
        <v>Oct</v>
      </c>
      <c r="M565">
        <f>YEAR(tblSales[[#This Row],[Order Date]])</f>
        <v>2023</v>
      </c>
    </row>
    <row r="566" spans="1:13">
      <c r="A566" t="s">
        <v>1124</v>
      </c>
      <c r="B566" s="1">
        <v>45228</v>
      </c>
      <c r="C566" t="s">
        <v>33</v>
      </c>
      <c r="D566" t="s">
        <v>26</v>
      </c>
      <c r="E566" t="s">
        <v>49</v>
      </c>
      <c r="F566" t="s">
        <v>1125</v>
      </c>
      <c r="G566">
        <v>70.39</v>
      </c>
      <c r="H566">
        <v>2</v>
      </c>
      <c r="I566">
        <v>14.73</v>
      </c>
      <c r="J566" t="s">
        <v>29</v>
      </c>
      <c r="K566" s="6">
        <f>tblSales[[#This Row],[Profit]]/tblSales[[#This Row],[Sales]]</f>
        <v>0.20926267935786333</v>
      </c>
      <c r="L566" t="str">
        <f>TEXT(tblSales[[#This Row],[Order Date]],"mmm")</f>
        <v>Oct</v>
      </c>
      <c r="M566">
        <f>YEAR(tblSales[[#This Row],[Order Date]])</f>
        <v>2023</v>
      </c>
    </row>
    <row r="567" spans="1:13">
      <c r="A567" t="s">
        <v>1126</v>
      </c>
      <c r="B567" s="1">
        <v>45229</v>
      </c>
      <c r="C567" t="s">
        <v>20</v>
      </c>
      <c r="D567" t="s">
        <v>26</v>
      </c>
      <c r="E567" t="s">
        <v>34</v>
      </c>
      <c r="F567" t="s">
        <v>1127</v>
      </c>
      <c r="G567">
        <v>1200.06</v>
      </c>
      <c r="H567">
        <v>1</v>
      </c>
      <c r="I567">
        <v>263.14999999999998</v>
      </c>
      <c r="J567" t="s">
        <v>29</v>
      </c>
      <c r="K567" s="6">
        <f>tblSales[[#This Row],[Profit]]/tblSales[[#This Row],[Sales]]</f>
        <v>0.21928070263153507</v>
      </c>
      <c r="L567" t="str">
        <f>TEXT(tblSales[[#This Row],[Order Date]],"mmm")</f>
        <v>Oct</v>
      </c>
      <c r="M567">
        <f>YEAR(tblSales[[#This Row],[Order Date]])</f>
        <v>2023</v>
      </c>
    </row>
    <row r="568" spans="1:13">
      <c r="A568" t="s">
        <v>1128</v>
      </c>
      <c r="B568" s="1">
        <v>45230</v>
      </c>
      <c r="C568" t="s">
        <v>14</v>
      </c>
      <c r="D568" t="s">
        <v>15</v>
      </c>
      <c r="E568" t="s">
        <v>79</v>
      </c>
      <c r="F568" t="s">
        <v>1129</v>
      </c>
      <c r="G568">
        <v>741.9</v>
      </c>
      <c r="H568">
        <v>4</v>
      </c>
      <c r="I568">
        <v>144.71</v>
      </c>
      <c r="J568" t="s">
        <v>24</v>
      </c>
      <c r="K568" s="6">
        <f>tblSales[[#This Row],[Profit]]/tblSales[[#This Row],[Sales]]</f>
        <v>0.19505324167677587</v>
      </c>
      <c r="L568" t="str">
        <f>TEXT(tblSales[[#This Row],[Order Date]],"mmm")</f>
        <v>Oct</v>
      </c>
      <c r="M568">
        <f>YEAR(tblSales[[#This Row],[Order Date]])</f>
        <v>2023</v>
      </c>
    </row>
    <row r="569" spans="1:13">
      <c r="A569" t="s">
        <v>1130</v>
      </c>
      <c r="B569" s="1">
        <v>45231</v>
      </c>
      <c r="C569" t="s">
        <v>14</v>
      </c>
      <c r="D569" t="s">
        <v>73</v>
      </c>
      <c r="E569" t="s">
        <v>74</v>
      </c>
      <c r="F569" t="s">
        <v>1131</v>
      </c>
      <c r="G569">
        <v>228.41</v>
      </c>
      <c r="H569">
        <v>1</v>
      </c>
      <c r="I569">
        <v>19.45</v>
      </c>
      <c r="J569" t="s">
        <v>29</v>
      </c>
      <c r="K569" s="6">
        <f>tblSales[[#This Row],[Profit]]/tblSales[[#This Row],[Sales]]</f>
        <v>8.5153889934766427E-2</v>
      </c>
      <c r="L569" t="str">
        <f>TEXT(tblSales[[#This Row],[Order Date]],"mmm")</f>
        <v>Nov</v>
      </c>
      <c r="M569">
        <f>YEAR(tblSales[[#This Row],[Order Date]])</f>
        <v>2023</v>
      </c>
    </row>
    <row r="570" spans="1:13">
      <c r="A570" t="s">
        <v>1132</v>
      </c>
      <c r="B570" s="1">
        <v>45232</v>
      </c>
      <c r="C570" t="s">
        <v>33</v>
      </c>
      <c r="D570" t="s">
        <v>26</v>
      </c>
      <c r="E570" t="s">
        <v>27</v>
      </c>
      <c r="F570" t="s">
        <v>1133</v>
      </c>
      <c r="G570">
        <v>1020.8</v>
      </c>
      <c r="H570">
        <v>4</v>
      </c>
      <c r="I570">
        <v>76.38</v>
      </c>
      <c r="J570" t="s">
        <v>24</v>
      </c>
      <c r="K570" s="6">
        <f>tblSales[[#This Row],[Profit]]/tblSales[[#This Row],[Sales]]</f>
        <v>7.4823667711598749E-2</v>
      </c>
      <c r="L570" t="str">
        <f>TEXT(tblSales[[#This Row],[Order Date]],"mmm")</f>
        <v>Nov</v>
      </c>
      <c r="M570">
        <f>YEAR(tblSales[[#This Row],[Order Date]])</f>
        <v>2023</v>
      </c>
    </row>
    <row r="571" spans="1:13">
      <c r="A571" t="s">
        <v>1134</v>
      </c>
      <c r="B571" s="1">
        <v>45233</v>
      </c>
      <c r="C571" t="s">
        <v>14</v>
      </c>
      <c r="D571" t="s">
        <v>15</v>
      </c>
      <c r="E571" t="s">
        <v>16</v>
      </c>
      <c r="F571" t="s">
        <v>1135</v>
      </c>
      <c r="G571">
        <v>788.21</v>
      </c>
      <c r="H571">
        <v>3</v>
      </c>
      <c r="I571">
        <v>44.01</v>
      </c>
      <c r="J571" t="s">
        <v>24</v>
      </c>
      <c r="K571" s="6">
        <f>tblSales[[#This Row],[Profit]]/tblSales[[#This Row],[Sales]]</f>
        <v>5.5835373821697259E-2</v>
      </c>
      <c r="L571" t="str">
        <f>TEXT(tblSales[[#This Row],[Order Date]],"mmm")</f>
        <v>Nov</v>
      </c>
      <c r="M571">
        <f>YEAR(tblSales[[#This Row],[Order Date]])</f>
        <v>2023</v>
      </c>
    </row>
    <row r="572" spans="1:13">
      <c r="A572" t="s">
        <v>1136</v>
      </c>
      <c r="B572" s="1">
        <v>45234</v>
      </c>
      <c r="C572" t="s">
        <v>33</v>
      </c>
      <c r="D572" t="s">
        <v>15</v>
      </c>
      <c r="E572" t="s">
        <v>60</v>
      </c>
      <c r="F572" t="s">
        <v>1137</v>
      </c>
      <c r="G572">
        <v>985.95</v>
      </c>
      <c r="H572">
        <v>5</v>
      </c>
      <c r="I572">
        <v>255.23</v>
      </c>
      <c r="J572" t="s">
        <v>18</v>
      </c>
      <c r="K572" s="6">
        <f>tblSales[[#This Row],[Profit]]/tblSales[[#This Row],[Sales]]</f>
        <v>0.258867082509255</v>
      </c>
      <c r="L572" t="str">
        <f>TEXT(tblSales[[#This Row],[Order Date]],"mmm")</f>
        <v>Nov</v>
      </c>
      <c r="M572">
        <f>YEAR(tblSales[[#This Row],[Order Date]])</f>
        <v>2023</v>
      </c>
    </row>
    <row r="573" spans="1:13">
      <c r="A573" t="s">
        <v>1138</v>
      </c>
      <c r="B573" s="1">
        <v>45235</v>
      </c>
      <c r="C573" t="s">
        <v>33</v>
      </c>
      <c r="D573" t="s">
        <v>15</v>
      </c>
      <c r="E573" t="s">
        <v>79</v>
      </c>
      <c r="F573" t="s">
        <v>662</v>
      </c>
      <c r="G573">
        <v>762.11</v>
      </c>
      <c r="H573">
        <v>3</v>
      </c>
      <c r="I573">
        <v>207.37</v>
      </c>
      <c r="J573" t="s">
        <v>18</v>
      </c>
      <c r="K573" s="6">
        <f>tblSales[[#This Row],[Profit]]/tblSales[[#This Row],[Sales]]</f>
        <v>0.27209982810880318</v>
      </c>
      <c r="L573" t="str">
        <f>TEXT(tblSales[[#This Row],[Order Date]],"mmm")</f>
        <v>Nov</v>
      </c>
      <c r="M573">
        <f>YEAR(tblSales[[#This Row],[Order Date]])</f>
        <v>2023</v>
      </c>
    </row>
    <row r="574" spans="1:13">
      <c r="A574" t="s">
        <v>1139</v>
      </c>
      <c r="B574" s="1">
        <v>45236</v>
      </c>
      <c r="C574" t="s">
        <v>14</v>
      </c>
      <c r="D574" t="s">
        <v>15</v>
      </c>
      <c r="E574" t="s">
        <v>60</v>
      </c>
      <c r="F574" t="s">
        <v>1140</v>
      </c>
      <c r="G574">
        <v>1656.88</v>
      </c>
      <c r="H574">
        <v>1</v>
      </c>
      <c r="I574">
        <v>119.38</v>
      </c>
      <c r="J574" t="s">
        <v>18</v>
      </c>
      <c r="K574" s="6">
        <f>tblSales[[#This Row],[Profit]]/tblSales[[#This Row],[Sales]]</f>
        <v>7.2051083965042728E-2</v>
      </c>
      <c r="L574" t="str">
        <f>TEXT(tblSales[[#This Row],[Order Date]],"mmm")</f>
        <v>Nov</v>
      </c>
      <c r="M574">
        <f>YEAR(tblSales[[#This Row],[Order Date]])</f>
        <v>2023</v>
      </c>
    </row>
    <row r="575" spans="1:13">
      <c r="A575" t="s">
        <v>1141</v>
      </c>
      <c r="B575" s="1">
        <v>45237</v>
      </c>
      <c r="C575" t="s">
        <v>39</v>
      </c>
      <c r="D575" t="s">
        <v>26</v>
      </c>
      <c r="E575" t="s">
        <v>49</v>
      </c>
      <c r="F575" t="s">
        <v>585</v>
      </c>
      <c r="G575">
        <v>320.14</v>
      </c>
      <c r="H575">
        <v>1</v>
      </c>
      <c r="I575">
        <v>46.86</v>
      </c>
      <c r="J575" t="s">
        <v>29</v>
      </c>
      <c r="K575" s="6">
        <f>tblSales[[#This Row],[Profit]]/tblSales[[#This Row],[Sales]]</f>
        <v>0.1463734616105454</v>
      </c>
      <c r="L575" t="str">
        <f>TEXT(tblSales[[#This Row],[Order Date]],"mmm")</f>
        <v>Nov</v>
      </c>
      <c r="M575">
        <f>YEAR(tblSales[[#This Row],[Order Date]])</f>
        <v>2023</v>
      </c>
    </row>
    <row r="576" spans="1:13">
      <c r="A576" t="s">
        <v>1142</v>
      </c>
      <c r="B576" s="1">
        <v>45238</v>
      </c>
      <c r="C576" t="s">
        <v>39</v>
      </c>
      <c r="D576" t="s">
        <v>21</v>
      </c>
      <c r="E576" t="s">
        <v>57</v>
      </c>
      <c r="F576" t="s">
        <v>1143</v>
      </c>
      <c r="G576">
        <v>1960.62</v>
      </c>
      <c r="H576">
        <v>9</v>
      </c>
      <c r="I576">
        <v>369.44</v>
      </c>
      <c r="J576" t="s">
        <v>29</v>
      </c>
      <c r="K576" s="6">
        <f>tblSales[[#This Row],[Profit]]/tblSales[[#This Row],[Sales]]</f>
        <v>0.18843019044995971</v>
      </c>
      <c r="L576" t="str">
        <f>TEXT(tblSales[[#This Row],[Order Date]],"mmm")</f>
        <v>Nov</v>
      </c>
      <c r="M576">
        <f>YEAR(tblSales[[#This Row],[Order Date]])</f>
        <v>2023</v>
      </c>
    </row>
    <row r="577" spans="1:13">
      <c r="A577" t="s">
        <v>1144</v>
      </c>
      <c r="B577" s="1">
        <v>45239</v>
      </c>
      <c r="C577" t="s">
        <v>14</v>
      </c>
      <c r="D577" t="s">
        <v>26</v>
      </c>
      <c r="E577" t="s">
        <v>49</v>
      </c>
      <c r="F577" t="s">
        <v>1145</v>
      </c>
      <c r="G577">
        <v>1528.57</v>
      </c>
      <c r="H577">
        <v>7</v>
      </c>
      <c r="I577">
        <v>244.74</v>
      </c>
      <c r="J577" t="s">
        <v>24</v>
      </c>
      <c r="K577" s="6">
        <f>tblSales[[#This Row],[Profit]]/tblSales[[#This Row],[Sales]]</f>
        <v>0.16011043000974767</v>
      </c>
      <c r="L577" t="str">
        <f>TEXT(tblSales[[#This Row],[Order Date]],"mmm")</f>
        <v>Nov</v>
      </c>
      <c r="M577">
        <f>YEAR(tblSales[[#This Row],[Order Date]])</f>
        <v>2023</v>
      </c>
    </row>
    <row r="578" spans="1:13">
      <c r="A578" t="s">
        <v>1146</v>
      </c>
      <c r="B578" s="1">
        <v>45240</v>
      </c>
      <c r="C578" t="s">
        <v>39</v>
      </c>
      <c r="D578" t="s">
        <v>73</v>
      </c>
      <c r="E578" t="s">
        <v>74</v>
      </c>
      <c r="F578" t="s">
        <v>660</v>
      </c>
      <c r="G578">
        <v>533.48</v>
      </c>
      <c r="H578">
        <v>3</v>
      </c>
      <c r="I578">
        <v>50.3</v>
      </c>
      <c r="J578" t="s">
        <v>29</v>
      </c>
      <c r="K578" s="6">
        <f>tblSales[[#This Row],[Profit]]/tblSales[[#This Row],[Sales]]</f>
        <v>9.4286571192921942E-2</v>
      </c>
      <c r="L578" t="str">
        <f>TEXT(tblSales[[#This Row],[Order Date]],"mmm")</f>
        <v>Nov</v>
      </c>
      <c r="M578">
        <f>YEAR(tblSales[[#This Row],[Order Date]])</f>
        <v>2023</v>
      </c>
    </row>
    <row r="579" spans="1:13">
      <c r="A579" t="s">
        <v>1147</v>
      </c>
      <c r="B579" s="1">
        <v>45241</v>
      </c>
      <c r="C579" t="s">
        <v>14</v>
      </c>
      <c r="D579" t="s">
        <v>73</v>
      </c>
      <c r="E579" t="s">
        <v>74</v>
      </c>
      <c r="F579" t="s">
        <v>1148</v>
      </c>
      <c r="G579">
        <v>1361.23</v>
      </c>
      <c r="H579">
        <v>5</v>
      </c>
      <c r="I579">
        <v>396.94</v>
      </c>
      <c r="J579" t="s">
        <v>29</v>
      </c>
      <c r="K579" s="6">
        <f>tblSales[[#This Row],[Profit]]/tblSales[[#This Row],[Sales]]</f>
        <v>0.29160391704561317</v>
      </c>
      <c r="L579" t="str">
        <f>TEXT(tblSales[[#This Row],[Order Date]],"mmm")</f>
        <v>Nov</v>
      </c>
      <c r="M579">
        <f>YEAR(tblSales[[#This Row],[Order Date]])</f>
        <v>2023</v>
      </c>
    </row>
    <row r="580" spans="1:13">
      <c r="A580" t="s">
        <v>1149</v>
      </c>
      <c r="B580" s="1">
        <v>45242</v>
      </c>
      <c r="C580" t="s">
        <v>20</v>
      </c>
      <c r="D580" t="s">
        <v>21</v>
      </c>
      <c r="E580" t="s">
        <v>57</v>
      </c>
      <c r="F580" t="s">
        <v>1143</v>
      </c>
      <c r="G580">
        <v>707.61</v>
      </c>
      <c r="H580">
        <v>8</v>
      </c>
      <c r="I580">
        <v>212.23</v>
      </c>
      <c r="J580" t="s">
        <v>24</v>
      </c>
      <c r="K580" s="6">
        <f>tblSales[[#This Row],[Profit]]/tblSales[[#This Row],[Sales]]</f>
        <v>0.29992509998445471</v>
      </c>
      <c r="L580" t="str">
        <f>TEXT(tblSales[[#This Row],[Order Date]],"mmm")</f>
        <v>Nov</v>
      </c>
      <c r="M580">
        <f>YEAR(tblSales[[#This Row],[Order Date]])</f>
        <v>2023</v>
      </c>
    </row>
    <row r="581" spans="1:13">
      <c r="A581" t="s">
        <v>1150</v>
      </c>
      <c r="B581" s="1">
        <v>45243</v>
      </c>
      <c r="C581" t="s">
        <v>39</v>
      </c>
      <c r="D581" t="s">
        <v>26</v>
      </c>
      <c r="E581" t="s">
        <v>27</v>
      </c>
      <c r="F581" t="s">
        <v>1151</v>
      </c>
      <c r="G581">
        <v>988.02</v>
      </c>
      <c r="H581">
        <v>3</v>
      </c>
      <c r="I581">
        <v>242.65</v>
      </c>
      <c r="J581" t="s">
        <v>29</v>
      </c>
      <c r="K581" s="6">
        <f>tblSales[[#This Row],[Profit]]/tblSales[[#This Row],[Sales]]</f>
        <v>0.24559219448999009</v>
      </c>
      <c r="L581" t="str">
        <f>TEXT(tblSales[[#This Row],[Order Date]],"mmm")</f>
        <v>Nov</v>
      </c>
      <c r="M581">
        <f>YEAR(tblSales[[#This Row],[Order Date]])</f>
        <v>2023</v>
      </c>
    </row>
    <row r="582" spans="1:13">
      <c r="A582" t="s">
        <v>1152</v>
      </c>
      <c r="B582" s="1">
        <v>45244</v>
      </c>
      <c r="C582" t="s">
        <v>20</v>
      </c>
      <c r="D582" t="s">
        <v>26</v>
      </c>
      <c r="E582" t="s">
        <v>27</v>
      </c>
      <c r="F582" t="s">
        <v>1153</v>
      </c>
      <c r="G582">
        <v>1254.3399999999999</v>
      </c>
      <c r="H582">
        <v>9</v>
      </c>
      <c r="I582">
        <v>311.24</v>
      </c>
      <c r="J582" t="s">
        <v>18</v>
      </c>
      <c r="K582" s="6">
        <f>tblSales[[#This Row],[Profit]]/tblSales[[#This Row],[Sales]]</f>
        <v>0.24813049093547207</v>
      </c>
      <c r="L582" t="str">
        <f>TEXT(tblSales[[#This Row],[Order Date]],"mmm")</f>
        <v>Nov</v>
      </c>
      <c r="M582">
        <f>YEAR(tblSales[[#This Row],[Order Date]])</f>
        <v>2023</v>
      </c>
    </row>
    <row r="583" spans="1:13">
      <c r="A583" t="s">
        <v>1154</v>
      </c>
      <c r="B583" s="1">
        <v>45245</v>
      </c>
      <c r="C583" t="s">
        <v>33</v>
      </c>
      <c r="D583" t="s">
        <v>26</v>
      </c>
      <c r="E583" t="s">
        <v>27</v>
      </c>
      <c r="F583" t="s">
        <v>1155</v>
      </c>
      <c r="G583">
        <v>313.01</v>
      </c>
      <c r="H583">
        <v>5</v>
      </c>
      <c r="I583">
        <v>52.86</v>
      </c>
      <c r="J583" t="s">
        <v>18</v>
      </c>
      <c r="K583" s="6">
        <f>tblSales[[#This Row],[Profit]]/tblSales[[#This Row],[Sales]]</f>
        <v>0.16887639372544008</v>
      </c>
      <c r="L583" t="str">
        <f>TEXT(tblSales[[#This Row],[Order Date]],"mmm")</f>
        <v>Nov</v>
      </c>
      <c r="M583">
        <f>YEAR(tblSales[[#This Row],[Order Date]])</f>
        <v>2023</v>
      </c>
    </row>
    <row r="584" spans="1:13">
      <c r="A584" t="s">
        <v>1156</v>
      </c>
      <c r="B584" s="1">
        <v>45246</v>
      </c>
      <c r="C584" t="s">
        <v>33</v>
      </c>
      <c r="D584" t="s">
        <v>73</v>
      </c>
      <c r="E584" t="s">
        <v>84</v>
      </c>
      <c r="F584" t="s">
        <v>1157</v>
      </c>
      <c r="G584">
        <v>470.94</v>
      </c>
      <c r="H584">
        <v>5</v>
      </c>
      <c r="I584">
        <v>94.08</v>
      </c>
      <c r="J584" t="s">
        <v>24</v>
      </c>
      <c r="K584" s="6">
        <f>tblSales[[#This Row],[Profit]]/tblSales[[#This Row],[Sales]]</f>
        <v>0.19977067142311122</v>
      </c>
      <c r="L584" t="str">
        <f>TEXT(tblSales[[#This Row],[Order Date]],"mmm")</f>
        <v>Nov</v>
      </c>
      <c r="M584">
        <f>YEAR(tblSales[[#This Row],[Order Date]])</f>
        <v>2023</v>
      </c>
    </row>
    <row r="585" spans="1:13">
      <c r="A585" t="s">
        <v>1158</v>
      </c>
      <c r="B585" s="1">
        <v>45247</v>
      </c>
      <c r="C585" t="s">
        <v>20</v>
      </c>
      <c r="D585" t="s">
        <v>15</v>
      </c>
      <c r="E585" t="s">
        <v>16</v>
      </c>
      <c r="F585" t="s">
        <v>183</v>
      </c>
      <c r="G585">
        <v>1742.54</v>
      </c>
      <c r="H585">
        <v>5</v>
      </c>
      <c r="I585">
        <v>412.05</v>
      </c>
      <c r="J585" t="s">
        <v>24</v>
      </c>
      <c r="K585" s="6">
        <f>tblSales[[#This Row],[Profit]]/tblSales[[#This Row],[Sales]]</f>
        <v>0.23646516005371471</v>
      </c>
      <c r="L585" t="str">
        <f>TEXT(tblSales[[#This Row],[Order Date]],"mmm")</f>
        <v>Nov</v>
      </c>
      <c r="M585">
        <f>YEAR(tblSales[[#This Row],[Order Date]])</f>
        <v>2023</v>
      </c>
    </row>
    <row r="586" spans="1:13">
      <c r="A586" t="s">
        <v>1159</v>
      </c>
      <c r="B586" s="1">
        <v>45248</v>
      </c>
      <c r="C586" t="s">
        <v>33</v>
      </c>
      <c r="D586" t="s">
        <v>73</v>
      </c>
      <c r="E586" t="s">
        <v>164</v>
      </c>
      <c r="F586" t="s">
        <v>396</v>
      </c>
      <c r="G586">
        <v>1592.54</v>
      </c>
      <c r="H586">
        <v>4</v>
      </c>
      <c r="I586">
        <v>265.47000000000003</v>
      </c>
      <c r="J586" t="s">
        <v>18</v>
      </c>
      <c r="K586" s="6">
        <f>tblSales[[#This Row],[Profit]]/tblSales[[#This Row],[Sales]]</f>
        <v>0.16669596995993824</v>
      </c>
      <c r="L586" t="str">
        <f>TEXT(tblSales[[#This Row],[Order Date]],"mmm")</f>
        <v>Nov</v>
      </c>
      <c r="M586">
        <f>YEAR(tblSales[[#This Row],[Order Date]])</f>
        <v>2023</v>
      </c>
    </row>
    <row r="587" spans="1:13">
      <c r="A587" t="s">
        <v>1160</v>
      </c>
      <c r="B587" s="1">
        <v>45249</v>
      </c>
      <c r="C587" t="s">
        <v>14</v>
      </c>
      <c r="D587" t="s">
        <v>26</v>
      </c>
      <c r="E587" t="s">
        <v>34</v>
      </c>
      <c r="F587" t="s">
        <v>1161</v>
      </c>
      <c r="G587">
        <v>314.62</v>
      </c>
      <c r="H587">
        <v>3</v>
      </c>
      <c r="I587">
        <v>56.07</v>
      </c>
      <c r="J587" t="s">
        <v>29</v>
      </c>
      <c r="K587" s="6">
        <f>tblSales[[#This Row],[Profit]]/tblSales[[#This Row],[Sales]]</f>
        <v>0.1782149895111563</v>
      </c>
      <c r="L587" t="str">
        <f>TEXT(tblSales[[#This Row],[Order Date]],"mmm")</f>
        <v>Nov</v>
      </c>
      <c r="M587">
        <f>YEAR(tblSales[[#This Row],[Order Date]])</f>
        <v>2023</v>
      </c>
    </row>
    <row r="588" spans="1:13">
      <c r="A588" t="s">
        <v>1162</v>
      </c>
      <c r="B588" s="1">
        <v>45250</v>
      </c>
      <c r="C588" t="s">
        <v>33</v>
      </c>
      <c r="D588" t="s">
        <v>15</v>
      </c>
      <c r="E588" t="s">
        <v>60</v>
      </c>
      <c r="F588" t="s">
        <v>1163</v>
      </c>
      <c r="G588">
        <v>1729.82</v>
      </c>
      <c r="H588">
        <v>7</v>
      </c>
      <c r="I588">
        <v>248.8</v>
      </c>
      <c r="J588" t="s">
        <v>18</v>
      </c>
      <c r="K588" s="6">
        <f>tblSales[[#This Row],[Profit]]/tblSales[[#This Row],[Sales]]</f>
        <v>0.14382999387219481</v>
      </c>
      <c r="L588" t="str">
        <f>TEXT(tblSales[[#This Row],[Order Date]],"mmm")</f>
        <v>Nov</v>
      </c>
      <c r="M588">
        <f>YEAR(tblSales[[#This Row],[Order Date]])</f>
        <v>2023</v>
      </c>
    </row>
    <row r="589" spans="1:13">
      <c r="A589" t="s">
        <v>1164</v>
      </c>
      <c r="B589" s="1">
        <v>45251</v>
      </c>
      <c r="C589" t="s">
        <v>39</v>
      </c>
      <c r="D589" t="s">
        <v>40</v>
      </c>
      <c r="E589" t="s">
        <v>92</v>
      </c>
      <c r="F589" t="s">
        <v>1165</v>
      </c>
      <c r="G589">
        <v>422.38</v>
      </c>
      <c r="H589">
        <v>8</v>
      </c>
      <c r="I589">
        <v>67.709999999999994</v>
      </c>
      <c r="J589" t="s">
        <v>18</v>
      </c>
      <c r="K589" s="6">
        <f>tblSales[[#This Row],[Profit]]/tblSales[[#This Row],[Sales]]</f>
        <v>0.1603058856953454</v>
      </c>
      <c r="L589" t="str">
        <f>TEXT(tblSales[[#This Row],[Order Date]],"mmm")</f>
        <v>Nov</v>
      </c>
      <c r="M589">
        <f>YEAR(tblSales[[#This Row],[Order Date]])</f>
        <v>2023</v>
      </c>
    </row>
    <row r="590" spans="1:13">
      <c r="A590" t="s">
        <v>1166</v>
      </c>
      <c r="B590" s="1">
        <v>45252</v>
      </c>
      <c r="C590" t="s">
        <v>39</v>
      </c>
      <c r="D590" t="s">
        <v>40</v>
      </c>
      <c r="E590" t="s">
        <v>44</v>
      </c>
      <c r="F590" t="s">
        <v>1167</v>
      </c>
      <c r="G590">
        <v>994.8</v>
      </c>
      <c r="H590">
        <v>2</v>
      </c>
      <c r="I590">
        <v>230.23</v>
      </c>
      <c r="J590" t="s">
        <v>29</v>
      </c>
      <c r="K590" s="6">
        <f>tblSales[[#This Row],[Profit]]/tblSales[[#This Row],[Sales]]</f>
        <v>0.23143345396059509</v>
      </c>
      <c r="L590" t="str">
        <f>TEXT(tblSales[[#This Row],[Order Date]],"mmm")</f>
        <v>Nov</v>
      </c>
      <c r="M590">
        <f>YEAR(tblSales[[#This Row],[Order Date]])</f>
        <v>2023</v>
      </c>
    </row>
    <row r="591" spans="1:13">
      <c r="A591" t="s">
        <v>1168</v>
      </c>
      <c r="B591" s="1">
        <v>45253</v>
      </c>
      <c r="C591" t="s">
        <v>33</v>
      </c>
      <c r="D591" t="s">
        <v>21</v>
      </c>
      <c r="E591" t="s">
        <v>22</v>
      </c>
      <c r="F591" t="s">
        <v>1169</v>
      </c>
      <c r="G591">
        <v>1658.49</v>
      </c>
      <c r="H591">
        <v>4</v>
      </c>
      <c r="I591">
        <v>417.35</v>
      </c>
      <c r="J591" t="s">
        <v>18</v>
      </c>
      <c r="K591" s="6">
        <f>tblSales[[#This Row],[Profit]]/tblSales[[#This Row],[Sales]]</f>
        <v>0.25164456825184356</v>
      </c>
      <c r="L591" t="str">
        <f>TEXT(tblSales[[#This Row],[Order Date]],"mmm")</f>
        <v>Nov</v>
      </c>
      <c r="M591">
        <f>YEAR(tblSales[[#This Row],[Order Date]])</f>
        <v>2023</v>
      </c>
    </row>
    <row r="592" spans="1:13">
      <c r="A592" t="s">
        <v>1170</v>
      </c>
      <c r="B592" s="1">
        <v>45254</v>
      </c>
      <c r="C592" t="s">
        <v>20</v>
      </c>
      <c r="D592" t="s">
        <v>40</v>
      </c>
      <c r="E592" t="s">
        <v>41</v>
      </c>
      <c r="F592" t="s">
        <v>1171</v>
      </c>
      <c r="G592">
        <v>1992.32</v>
      </c>
      <c r="H592">
        <v>8</v>
      </c>
      <c r="I592">
        <v>524.96</v>
      </c>
      <c r="J592" t="s">
        <v>18</v>
      </c>
      <c r="K592" s="6">
        <f>tblSales[[#This Row],[Profit]]/tblSales[[#This Row],[Sales]]</f>
        <v>0.26349180854481208</v>
      </c>
      <c r="L592" t="str">
        <f>TEXT(tblSales[[#This Row],[Order Date]],"mmm")</f>
        <v>Nov</v>
      </c>
      <c r="M592">
        <f>YEAR(tblSales[[#This Row],[Order Date]])</f>
        <v>2023</v>
      </c>
    </row>
    <row r="593" spans="1:13">
      <c r="A593" t="s">
        <v>1172</v>
      </c>
      <c r="B593" s="1">
        <v>45255</v>
      </c>
      <c r="C593" t="s">
        <v>20</v>
      </c>
      <c r="D593" t="s">
        <v>73</v>
      </c>
      <c r="E593" t="s">
        <v>164</v>
      </c>
      <c r="F593" t="s">
        <v>983</v>
      </c>
      <c r="G593">
        <v>610.9</v>
      </c>
      <c r="H593">
        <v>8</v>
      </c>
      <c r="I593">
        <v>40.08</v>
      </c>
      <c r="J593" t="s">
        <v>29</v>
      </c>
      <c r="K593" s="6">
        <f>tblSales[[#This Row],[Profit]]/tblSales[[#This Row],[Sales]]</f>
        <v>6.5608119168440004E-2</v>
      </c>
      <c r="L593" t="str">
        <f>TEXT(tblSales[[#This Row],[Order Date]],"mmm")</f>
        <v>Nov</v>
      </c>
      <c r="M593">
        <f>YEAR(tblSales[[#This Row],[Order Date]])</f>
        <v>2023</v>
      </c>
    </row>
    <row r="594" spans="1:13">
      <c r="A594" t="s">
        <v>1173</v>
      </c>
      <c r="B594" s="1">
        <v>45256</v>
      </c>
      <c r="C594" t="s">
        <v>39</v>
      </c>
      <c r="D594" t="s">
        <v>21</v>
      </c>
      <c r="E594" t="s">
        <v>57</v>
      </c>
      <c r="F594" t="s">
        <v>1174</v>
      </c>
      <c r="G594">
        <v>80.959999999999994</v>
      </c>
      <c r="H594">
        <v>7</v>
      </c>
      <c r="I594">
        <v>4.43</v>
      </c>
      <c r="J594" t="s">
        <v>18</v>
      </c>
      <c r="K594" s="6">
        <f>tblSales[[#This Row],[Profit]]/tblSales[[#This Row],[Sales]]</f>
        <v>5.4718379446640319E-2</v>
      </c>
      <c r="L594" t="str">
        <f>TEXT(tblSales[[#This Row],[Order Date]],"mmm")</f>
        <v>Nov</v>
      </c>
      <c r="M594">
        <f>YEAR(tblSales[[#This Row],[Order Date]])</f>
        <v>2023</v>
      </c>
    </row>
    <row r="595" spans="1:13">
      <c r="A595" t="s">
        <v>1175</v>
      </c>
      <c r="B595" s="1">
        <v>45257</v>
      </c>
      <c r="C595" t="s">
        <v>14</v>
      </c>
      <c r="D595" t="s">
        <v>15</v>
      </c>
      <c r="E595" t="s">
        <v>60</v>
      </c>
      <c r="F595" t="s">
        <v>1176</v>
      </c>
      <c r="G595">
        <v>1381.69</v>
      </c>
      <c r="H595">
        <v>3</v>
      </c>
      <c r="I595">
        <v>308.3</v>
      </c>
      <c r="J595" t="s">
        <v>29</v>
      </c>
      <c r="K595" s="6">
        <f>tblSales[[#This Row],[Profit]]/tblSales[[#This Row],[Sales]]</f>
        <v>0.22313254058435683</v>
      </c>
      <c r="L595" t="str">
        <f>TEXT(tblSales[[#This Row],[Order Date]],"mmm")</f>
        <v>Nov</v>
      </c>
      <c r="M595">
        <f>YEAR(tblSales[[#This Row],[Order Date]])</f>
        <v>2023</v>
      </c>
    </row>
    <row r="596" spans="1:13">
      <c r="A596" t="s">
        <v>1177</v>
      </c>
      <c r="B596" s="1">
        <v>45258</v>
      </c>
      <c r="C596" t="s">
        <v>33</v>
      </c>
      <c r="D596" t="s">
        <v>73</v>
      </c>
      <c r="E596" t="s">
        <v>74</v>
      </c>
      <c r="F596" t="s">
        <v>1178</v>
      </c>
      <c r="G596">
        <v>1296.05</v>
      </c>
      <c r="H596">
        <v>2</v>
      </c>
      <c r="I596">
        <v>172.83</v>
      </c>
      <c r="J596" t="s">
        <v>24</v>
      </c>
      <c r="K596" s="6">
        <f>tblSales[[#This Row],[Profit]]/tblSales[[#This Row],[Sales]]</f>
        <v>0.13335133675398328</v>
      </c>
      <c r="L596" t="str">
        <f>TEXT(tblSales[[#This Row],[Order Date]],"mmm")</f>
        <v>Nov</v>
      </c>
      <c r="M596">
        <f>YEAR(tblSales[[#This Row],[Order Date]])</f>
        <v>2023</v>
      </c>
    </row>
    <row r="597" spans="1:13">
      <c r="A597" t="s">
        <v>1179</v>
      </c>
      <c r="B597" s="1">
        <v>45259</v>
      </c>
      <c r="C597" t="s">
        <v>20</v>
      </c>
      <c r="D597" t="s">
        <v>40</v>
      </c>
      <c r="E597" t="s">
        <v>44</v>
      </c>
      <c r="F597" t="s">
        <v>1180</v>
      </c>
      <c r="G597">
        <v>1066.58</v>
      </c>
      <c r="H597">
        <v>3</v>
      </c>
      <c r="I597">
        <v>319.39</v>
      </c>
      <c r="J597" t="s">
        <v>24</v>
      </c>
      <c r="K597" s="6">
        <f>tblSales[[#This Row],[Profit]]/tblSales[[#This Row],[Sales]]</f>
        <v>0.29945245551201038</v>
      </c>
      <c r="L597" t="str">
        <f>TEXT(tblSales[[#This Row],[Order Date]],"mmm")</f>
        <v>Nov</v>
      </c>
      <c r="M597">
        <f>YEAR(tblSales[[#This Row],[Order Date]])</f>
        <v>2023</v>
      </c>
    </row>
    <row r="598" spans="1:13">
      <c r="A598" t="s">
        <v>1181</v>
      </c>
      <c r="B598" s="1">
        <v>45260</v>
      </c>
      <c r="C598" t="s">
        <v>20</v>
      </c>
      <c r="D598" t="s">
        <v>21</v>
      </c>
      <c r="E598" t="s">
        <v>89</v>
      </c>
      <c r="F598" t="s">
        <v>1182</v>
      </c>
      <c r="G598">
        <v>1660.37</v>
      </c>
      <c r="H598">
        <v>7</v>
      </c>
      <c r="I598">
        <v>83.98</v>
      </c>
      <c r="J598" t="s">
        <v>18</v>
      </c>
      <c r="K598" s="6">
        <f>tblSales[[#This Row],[Profit]]/tblSales[[#This Row],[Sales]]</f>
        <v>5.0579087793684543E-2</v>
      </c>
      <c r="L598" t="str">
        <f>TEXT(tblSales[[#This Row],[Order Date]],"mmm")</f>
        <v>Nov</v>
      </c>
      <c r="M598">
        <f>YEAR(tblSales[[#This Row],[Order Date]])</f>
        <v>2023</v>
      </c>
    </row>
    <row r="599" spans="1:13">
      <c r="A599" t="s">
        <v>1183</v>
      </c>
      <c r="B599" s="1">
        <v>45261</v>
      </c>
      <c r="C599" t="s">
        <v>39</v>
      </c>
      <c r="D599" t="s">
        <v>15</v>
      </c>
      <c r="E599" t="s">
        <v>60</v>
      </c>
      <c r="F599" t="s">
        <v>1184</v>
      </c>
      <c r="G599">
        <v>696.73</v>
      </c>
      <c r="H599">
        <v>5</v>
      </c>
      <c r="I599">
        <v>163.81</v>
      </c>
      <c r="J599" t="s">
        <v>24</v>
      </c>
      <c r="K599" s="6">
        <f>tblSales[[#This Row],[Profit]]/tblSales[[#This Row],[Sales]]</f>
        <v>0.23511259741937335</v>
      </c>
      <c r="L599" t="str">
        <f>TEXT(tblSales[[#This Row],[Order Date]],"mmm")</f>
        <v>Dec</v>
      </c>
      <c r="M599">
        <f>YEAR(tblSales[[#This Row],[Order Date]])</f>
        <v>2023</v>
      </c>
    </row>
    <row r="600" spans="1:13">
      <c r="A600" t="s">
        <v>1185</v>
      </c>
      <c r="B600" s="1">
        <v>45262</v>
      </c>
      <c r="C600" t="s">
        <v>39</v>
      </c>
      <c r="D600" t="s">
        <v>26</v>
      </c>
      <c r="E600" t="s">
        <v>27</v>
      </c>
      <c r="F600" t="s">
        <v>1186</v>
      </c>
      <c r="G600">
        <v>1511.79</v>
      </c>
      <c r="H600">
        <v>5</v>
      </c>
      <c r="I600">
        <v>386.23</v>
      </c>
      <c r="J600" t="s">
        <v>18</v>
      </c>
      <c r="K600" s="6">
        <f>tblSales[[#This Row],[Profit]]/tblSales[[#This Row],[Sales]]</f>
        <v>0.25547860483268181</v>
      </c>
      <c r="L600" t="str">
        <f>TEXT(tblSales[[#This Row],[Order Date]],"mmm")</f>
        <v>Dec</v>
      </c>
      <c r="M600">
        <f>YEAR(tblSales[[#This Row],[Order Date]])</f>
        <v>2023</v>
      </c>
    </row>
    <row r="601" spans="1:13">
      <c r="A601" t="s">
        <v>1187</v>
      </c>
      <c r="B601" s="1">
        <v>45263</v>
      </c>
      <c r="C601" t="s">
        <v>14</v>
      </c>
      <c r="D601" t="s">
        <v>73</v>
      </c>
      <c r="E601" t="s">
        <v>84</v>
      </c>
      <c r="F601" t="s">
        <v>1188</v>
      </c>
      <c r="G601">
        <v>1771.16</v>
      </c>
      <c r="H601">
        <v>3</v>
      </c>
      <c r="I601">
        <v>360.26</v>
      </c>
      <c r="J601" t="s">
        <v>18</v>
      </c>
      <c r="K601" s="6">
        <f>tblSales[[#This Row],[Profit]]/tblSales[[#This Row],[Sales]]</f>
        <v>0.2034034192280765</v>
      </c>
      <c r="L601" t="str">
        <f>TEXT(tblSales[[#This Row],[Order Date]],"mmm")</f>
        <v>Dec</v>
      </c>
      <c r="M601">
        <f>YEAR(tblSales[[#This Row],[Order Date]])</f>
        <v>2023</v>
      </c>
    </row>
    <row r="602" spans="1:13">
      <c r="A602" t="s">
        <v>1189</v>
      </c>
      <c r="B602" s="1">
        <v>45264</v>
      </c>
      <c r="C602" t="s">
        <v>14</v>
      </c>
      <c r="D602" t="s">
        <v>26</v>
      </c>
      <c r="E602" t="s">
        <v>34</v>
      </c>
      <c r="F602" t="s">
        <v>406</v>
      </c>
      <c r="G602">
        <v>985.5</v>
      </c>
      <c r="H602">
        <v>4</v>
      </c>
      <c r="I602">
        <v>149.58000000000001</v>
      </c>
      <c r="J602" t="s">
        <v>18</v>
      </c>
      <c r="K602" s="6">
        <f>tblSales[[#This Row],[Profit]]/tblSales[[#This Row],[Sales]]</f>
        <v>0.15178082191780823</v>
      </c>
      <c r="L602" t="str">
        <f>TEXT(tblSales[[#This Row],[Order Date]],"mmm")</f>
        <v>Dec</v>
      </c>
      <c r="M602">
        <f>YEAR(tblSales[[#This Row],[Order Date]])</f>
        <v>2023</v>
      </c>
    </row>
    <row r="603" spans="1:13">
      <c r="A603" t="s">
        <v>1190</v>
      </c>
      <c r="B603" s="1">
        <v>45265</v>
      </c>
      <c r="C603" t="s">
        <v>20</v>
      </c>
      <c r="D603" t="s">
        <v>73</v>
      </c>
      <c r="E603" t="s">
        <v>74</v>
      </c>
      <c r="F603" t="s">
        <v>1191</v>
      </c>
      <c r="G603">
        <v>710.66</v>
      </c>
      <c r="H603">
        <v>3</v>
      </c>
      <c r="I603">
        <v>147.83000000000001</v>
      </c>
      <c r="J603" t="s">
        <v>18</v>
      </c>
      <c r="K603" s="6">
        <f>tblSales[[#This Row],[Profit]]/tblSales[[#This Row],[Sales]]</f>
        <v>0.20801789885458591</v>
      </c>
      <c r="L603" t="str">
        <f>TEXT(tblSales[[#This Row],[Order Date]],"mmm")</f>
        <v>Dec</v>
      </c>
      <c r="M603">
        <f>YEAR(tblSales[[#This Row],[Order Date]])</f>
        <v>2023</v>
      </c>
    </row>
    <row r="604" spans="1:13">
      <c r="A604" t="s">
        <v>1192</v>
      </c>
      <c r="B604" s="1">
        <v>45266</v>
      </c>
      <c r="C604" t="s">
        <v>14</v>
      </c>
      <c r="D604" t="s">
        <v>26</v>
      </c>
      <c r="E604" t="s">
        <v>27</v>
      </c>
      <c r="F604" t="s">
        <v>1193</v>
      </c>
      <c r="G604">
        <v>32.06</v>
      </c>
      <c r="H604">
        <v>3</v>
      </c>
      <c r="I604">
        <v>5.79</v>
      </c>
      <c r="J604" t="s">
        <v>29</v>
      </c>
      <c r="K604" s="6">
        <f>tblSales[[#This Row],[Profit]]/tblSales[[#This Row],[Sales]]</f>
        <v>0.18059887710542732</v>
      </c>
      <c r="L604" t="str">
        <f>TEXT(tblSales[[#This Row],[Order Date]],"mmm")</f>
        <v>Dec</v>
      </c>
      <c r="M604">
        <f>YEAR(tblSales[[#This Row],[Order Date]])</f>
        <v>2023</v>
      </c>
    </row>
    <row r="605" spans="1:13">
      <c r="A605" t="s">
        <v>1194</v>
      </c>
      <c r="B605" s="1">
        <v>45267</v>
      </c>
      <c r="C605" t="s">
        <v>33</v>
      </c>
      <c r="D605" t="s">
        <v>73</v>
      </c>
      <c r="E605" t="s">
        <v>164</v>
      </c>
      <c r="F605" t="s">
        <v>1195</v>
      </c>
      <c r="G605">
        <v>172.19</v>
      </c>
      <c r="H605">
        <v>7</v>
      </c>
      <c r="I605">
        <v>44.86</v>
      </c>
      <c r="J605" t="s">
        <v>29</v>
      </c>
      <c r="K605" s="6">
        <f>tblSales[[#This Row],[Profit]]/tblSales[[#This Row],[Sales]]</f>
        <v>0.26052616295952147</v>
      </c>
      <c r="L605" t="str">
        <f>TEXT(tblSales[[#This Row],[Order Date]],"mmm")</f>
        <v>Dec</v>
      </c>
      <c r="M605">
        <f>YEAR(tblSales[[#This Row],[Order Date]])</f>
        <v>2023</v>
      </c>
    </row>
    <row r="606" spans="1:13">
      <c r="A606" t="s">
        <v>1196</v>
      </c>
      <c r="B606" s="1">
        <v>45268</v>
      </c>
      <c r="C606" t="s">
        <v>39</v>
      </c>
      <c r="D606" t="s">
        <v>40</v>
      </c>
      <c r="E606" t="s">
        <v>41</v>
      </c>
      <c r="F606" t="s">
        <v>786</v>
      </c>
      <c r="G606">
        <v>966.95</v>
      </c>
      <c r="H606">
        <v>2</v>
      </c>
      <c r="I606">
        <v>65.97</v>
      </c>
      <c r="J606" t="s">
        <v>29</v>
      </c>
      <c r="K606" s="6">
        <f>tblSales[[#This Row],[Profit]]/tblSales[[#This Row],[Sales]]</f>
        <v>6.8224830653084434E-2</v>
      </c>
      <c r="L606" t="str">
        <f>TEXT(tblSales[[#This Row],[Order Date]],"mmm")</f>
        <v>Dec</v>
      </c>
      <c r="M606">
        <f>YEAR(tblSales[[#This Row],[Order Date]])</f>
        <v>2023</v>
      </c>
    </row>
    <row r="607" spans="1:13">
      <c r="A607" t="s">
        <v>1197</v>
      </c>
      <c r="B607" s="1">
        <v>45269</v>
      </c>
      <c r="C607" t="s">
        <v>33</v>
      </c>
      <c r="D607" t="s">
        <v>21</v>
      </c>
      <c r="E607" t="s">
        <v>22</v>
      </c>
      <c r="F607" t="s">
        <v>344</v>
      </c>
      <c r="G607">
        <v>604.67999999999995</v>
      </c>
      <c r="H607">
        <v>2</v>
      </c>
      <c r="I607">
        <v>72.709999999999994</v>
      </c>
      <c r="J607" t="s">
        <v>29</v>
      </c>
      <c r="K607" s="6">
        <f>tblSales[[#This Row],[Profit]]/tblSales[[#This Row],[Sales]]</f>
        <v>0.12024541906462922</v>
      </c>
      <c r="L607" t="str">
        <f>TEXT(tblSales[[#This Row],[Order Date]],"mmm")</f>
        <v>Dec</v>
      </c>
      <c r="M607">
        <f>YEAR(tblSales[[#This Row],[Order Date]])</f>
        <v>2023</v>
      </c>
    </row>
    <row r="608" spans="1:13">
      <c r="A608" t="s">
        <v>1198</v>
      </c>
      <c r="B608" s="1">
        <v>45270</v>
      </c>
      <c r="C608" t="s">
        <v>20</v>
      </c>
      <c r="D608" t="s">
        <v>21</v>
      </c>
      <c r="E608" t="s">
        <v>57</v>
      </c>
      <c r="F608" t="s">
        <v>1199</v>
      </c>
      <c r="G608">
        <v>822.1</v>
      </c>
      <c r="H608">
        <v>6</v>
      </c>
      <c r="I608">
        <v>107.18</v>
      </c>
      <c r="J608" t="s">
        <v>18</v>
      </c>
      <c r="K608" s="6">
        <f>tblSales[[#This Row],[Profit]]/tblSales[[#This Row],[Sales]]</f>
        <v>0.13037343388882131</v>
      </c>
      <c r="L608" t="str">
        <f>TEXT(tblSales[[#This Row],[Order Date]],"mmm")</f>
        <v>Dec</v>
      </c>
      <c r="M608">
        <f>YEAR(tblSales[[#This Row],[Order Date]])</f>
        <v>2023</v>
      </c>
    </row>
    <row r="609" spans="1:13">
      <c r="A609" t="s">
        <v>1200</v>
      </c>
      <c r="B609" s="1">
        <v>45271</v>
      </c>
      <c r="C609" t="s">
        <v>39</v>
      </c>
      <c r="D609" t="s">
        <v>21</v>
      </c>
      <c r="E609" t="s">
        <v>89</v>
      </c>
      <c r="F609" t="s">
        <v>1201</v>
      </c>
      <c r="G609">
        <v>467.54</v>
      </c>
      <c r="H609">
        <v>9</v>
      </c>
      <c r="I609">
        <v>49.01</v>
      </c>
      <c r="J609" t="s">
        <v>29</v>
      </c>
      <c r="K609" s="6">
        <f>tblSales[[#This Row],[Profit]]/tblSales[[#This Row],[Sales]]</f>
        <v>0.10482525559310432</v>
      </c>
      <c r="L609" t="str">
        <f>TEXT(tblSales[[#This Row],[Order Date]],"mmm")</f>
        <v>Dec</v>
      </c>
      <c r="M609">
        <f>YEAR(tblSales[[#This Row],[Order Date]])</f>
        <v>2023</v>
      </c>
    </row>
    <row r="610" spans="1:13">
      <c r="A610" t="s">
        <v>1202</v>
      </c>
      <c r="B610" s="1">
        <v>45272</v>
      </c>
      <c r="C610" t="s">
        <v>39</v>
      </c>
      <c r="D610" t="s">
        <v>73</v>
      </c>
      <c r="E610" t="s">
        <v>74</v>
      </c>
      <c r="F610" t="s">
        <v>1203</v>
      </c>
      <c r="G610">
        <v>728.47</v>
      </c>
      <c r="H610">
        <v>9</v>
      </c>
      <c r="I610">
        <v>174.76</v>
      </c>
      <c r="J610" t="s">
        <v>29</v>
      </c>
      <c r="K610" s="6">
        <f>tblSales[[#This Row],[Profit]]/tblSales[[#This Row],[Sales]]</f>
        <v>0.23990006451878593</v>
      </c>
      <c r="L610" t="str">
        <f>TEXT(tblSales[[#This Row],[Order Date]],"mmm")</f>
        <v>Dec</v>
      </c>
      <c r="M610">
        <f>YEAR(tblSales[[#This Row],[Order Date]])</f>
        <v>2023</v>
      </c>
    </row>
    <row r="611" spans="1:13">
      <c r="A611" t="s">
        <v>1204</v>
      </c>
      <c r="B611" s="1">
        <v>45273</v>
      </c>
      <c r="C611" t="s">
        <v>39</v>
      </c>
      <c r="D611" t="s">
        <v>21</v>
      </c>
      <c r="E611" t="s">
        <v>89</v>
      </c>
      <c r="F611" t="s">
        <v>1205</v>
      </c>
      <c r="G611">
        <v>1445.19</v>
      </c>
      <c r="H611">
        <v>4</v>
      </c>
      <c r="I611">
        <v>297.99</v>
      </c>
      <c r="J611" t="s">
        <v>18</v>
      </c>
      <c r="K611" s="6">
        <f>tblSales[[#This Row],[Profit]]/tblSales[[#This Row],[Sales]]</f>
        <v>0.20619434122848898</v>
      </c>
      <c r="L611" t="str">
        <f>TEXT(tblSales[[#This Row],[Order Date]],"mmm")</f>
        <v>Dec</v>
      </c>
      <c r="M611">
        <f>YEAR(tblSales[[#This Row],[Order Date]])</f>
        <v>2023</v>
      </c>
    </row>
    <row r="612" spans="1:13">
      <c r="A612" t="s">
        <v>1206</v>
      </c>
      <c r="B612" s="1">
        <v>45274</v>
      </c>
      <c r="C612" t="s">
        <v>14</v>
      </c>
      <c r="D612" t="s">
        <v>21</v>
      </c>
      <c r="E612" t="s">
        <v>22</v>
      </c>
      <c r="F612" t="s">
        <v>1207</v>
      </c>
      <c r="G612">
        <v>1371.58</v>
      </c>
      <c r="H612">
        <v>2</v>
      </c>
      <c r="I612">
        <v>313.39</v>
      </c>
      <c r="J612" t="s">
        <v>18</v>
      </c>
      <c r="K612" s="6">
        <f>tblSales[[#This Row],[Profit]]/tblSales[[#This Row],[Sales]]</f>
        <v>0.22848831274880066</v>
      </c>
      <c r="L612" t="str">
        <f>TEXT(tblSales[[#This Row],[Order Date]],"mmm")</f>
        <v>Dec</v>
      </c>
      <c r="M612">
        <f>YEAR(tblSales[[#This Row],[Order Date]])</f>
        <v>2023</v>
      </c>
    </row>
    <row r="613" spans="1:13">
      <c r="A613" t="s">
        <v>1208</v>
      </c>
      <c r="B613" s="1">
        <v>45275</v>
      </c>
      <c r="C613" t="s">
        <v>33</v>
      </c>
      <c r="D613" t="s">
        <v>21</v>
      </c>
      <c r="E613" t="s">
        <v>57</v>
      </c>
      <c r="F613" t="s">
        <v>1209</v>
      </c>
      <c r="G613">
        <v>594.14</v>
      </c>
      <c r="H613">
        <v>4</v>
      </c>
      <c r="I613">
        <v>50.93</v>
      </c>
      <c r="J613" t="s">
        <v>18</v>
      </c>
      <c r="K613" s="6">
        <f>tblSales[[#This Row],[Profit]]/tblSales[[#This Row],[Sales]]</f>
        <v>8.5720537247113482E-2</v>
      </c>
      <c r="L613" t="str">
        <f>TEXT(tblSales[[#This Row],[Order Date]],"mmm")</f>
        <v>Dec</v>
      </c>
      <c r="M613">
        <f>YEAR(tblSales[[#This Row],[Order Date]])</f>
        <v>2023</v>
      </c>
    </row>
    <row r="614" spans="1:13">
      <c r="A614" t="s">
        <v>1210</v>
      </c>
      <c r="B614" s="1">
        <v>45276</v>
      </c>
      <c r="C614" t="s">
        <v>39</v>
      </c>
      <c r="D614" t="s">
        <v>26</v>
      </c>
      <c r="E614" t="s">
        <v>27</v>
      </c>
      <c r="F614" t="s">
        <v>1092</v>
      </c>
      <c r="G614">
        <v>557.39</v>
      </c>
      <c r="H614">
        <v>7</v>
      </c>
      <c r="I614">
        <v>49.97</v>
      </c>
      <c r="J614" t="s">
        <v>29</v>
      </c>
      <c r="K614" s="6">
        <f>tblSales[[#This Row],[Profit]]/tblSales[[#This Row],[Sales]]</f>
        <v>8.9649975779974522E-2</v>
      </c>
      <c r="L614" t="str">
        <f>TEXT(tblSales[[#This Row],[Order Date]],"mmm")</f>
        <v>Dec</v>
      </c>
      <c r="M614">
        <f>YEAR(tblSales[[#This Row],[Order Date]])</f>
        <v>2023</v>
      </c>
    </row>
    <row r="615" spans="1:13">
      <c r="A615" t="s">
        <v>1211</v>
      </c>
      <c r="B615" s="1">
        <v>45277</v>
      </c>
      <c r="C615" t="s">
        <v>20</v>
      </c>
      <c r="D615" t="s">
        <v>15</v>
      </c>
      <c r="E615" t="s">
        <v>60</v>
      </c>
      <c r="F615" t="s">
        <v>1212</v>
      </c>
      <c r="G615">
        <v>1651.08</v>
      </c>
      <c r="H615">
        <v>9</v>
      </c>
      <c r="I615">
        <v>391.57</v>
      </c>
      <c r="J615" t="s">
        <v>29</v>
      </c>
      <c r="K615" s="6">
        <f>tblSales[[#This Row],[Profit]]/tblSales[[#This Row],[Sales]]</f>
        <v>0.23715991956779806</v>
      </c>
      <c r="L615" t="str">
        <f>TEXT(tblSales[[#This Row],[Order Date]],"mmm")</f>
        <v>Dec</v>
      </c>
      <c r="M615">
        <f>YEAR(tblSales[[#This Row],[Order Date]])</f>
        <v>2023</v>
      </c>
    </row>
    <row r="616" spans="1:13">
      <c r="A616" t="s">
        <v>1213</v>
      </c>
      <c r="B616" s="1">
        <v>45278</v>
      </c>
      <c r="C616" t="s">
        <v>20</v>
      </c>
      <c r="D616" t="s">
        <v>21</v>
      </c>
      <c r="E616" t="s">
        <v>89</v>
      </c>
      <c r="F616" t="s">
        <v>1214</v>
      </c>
      <c r="G616">
        <v>20.27</v>
      </c>
      <c r="H616">
        <v>2</v>
      </c>
      <c r="I616">
        <v>2.41</v>
      </c>
      <c r="J616" t="s">
        <v>29</v>
      </c>
      <c r="K616" s="6">
        <f>tblSales[[#This Row],[Profit]]/tblSales[[#This Row],[Sales]]</f>
        <v>0.11889491859891466</v>
      </c>
      <c r="L616" t="str">
        <f>TEXT(tblSales[[#This Row],[Order Date]],"mmm")</f>
        <v>Dec</v>
      </c>
      <c r="M616">
        <f>YEAR(tblSales[[#This Row],[Order Date]])</f>
        <v>2023</v>
      </c>
    </row>
    <row r="617" spans="1:13">
      <c r="A617" t="s">
        <v>1215</v>
      </c>
      <c r="B617" s="1">
        <v>45279</v>
      </c>
      <c r="C617" t="s">
        <v>20</v>
      </c>
      <c r="D617" t="s">
        <v>21</v>
      </c>
      <c r="E617" t="s">
        <v>22</v>
      </c>
      <c r="F617" t="s">
        <v>1216</v>
      </c>
      <c r="G617">
        <v>1174.8699999999999</v>
      </c>
      <c r="H617">
        <v>8</v>
      </c>
      <c r="I617">
        <v>59.87</v>
      </c>
      <c r="J617" t="s">
        <v>24</v>
      </c>
      <c r="K617" s="6">
        <f>tblSales[[#This Row],[Profit]]/tblSales[[#This Row],[Sales]]</f>
        <v>5.0958829487517773E-2</v>
      </c>
      <c r="L617" t="str">
        <f>TEXT(tblSales[[#This Row],[Order Date]],"mmm")</f>
        <v>Dec</v>
      </c>
      <c r="M617">
        <f>YEAR(tblSales[[#This Row],[Order Date]])</f>
        <v>2023</v>
      </c>
    </row>
    <row r="618" spans="1:13">
      <c r="A618" t="s">
        <v>1217</v>
      </c>
      <c r="B618" s="1">
        <v>45280</v>
      </c>
      <c r="C618" t="s">
        <v>39</v>
      </c>
      <c r="D618" t="s">
        <v>40</v>
      </c>
      <c r="E618" t="s">
        <v>41</v>
      </c>
      <c r="F618" t="s">
        <v>1218</v>
      </c>
      <c r="G618">
        <v>1486.99</v>
      </c>
      <c r="H618">
        <v>9</v>
      </c>
      <c r="I618">
        <v>208.27</v>
      </c>
      <c r="J618" t="s">
        <v>18</v>
      </c>
      <c r="K618" s="6">
        <f>tblSales[[#This Row],[Profit]]/tblSales[[#This Row],[Sales]]</f>
        <v>0.1400614664523635</v>
      </c>
      <c r="L618" t="str">
        <f>TEXT(tblSales[[#This Row],[Order Date]],"mmm")</f>
        <v>Dec</v>
      </c>
      <c r="M618">
        <f>YEAR(tblSales[[#This Row],[Order Date]])</f>
        <v>2023</v>
      </c>
    </row>
    <row r="619" spans="1:13">
      <c r="A619" t="s">
        <v>1219</v>
      </c>
      <c r="B619" s="1">
        <v>45281</v>
      </c>
      <c r="C619" t="s">
        <v>20</v>
      </c>
      <c r="D619" t="s">
        <v>26</v>
      </c>
      <c r="E619" t="s">
        <v>49</v>
      </c>
      <c r="F619" t="s">
        <v>412</v>
      </c>
      <c r="G619">
        <v>1688.57</v>
      </c>
      <c r="H619">
        <v>4</v>
      </c>
      <c r="I619">
        <v>417.47</v>
      </c>
      <c r="J619" t="s">
        <v>18</v>
      </c>
      <c r="K619" s="6">
        <f>tblSales[[#This Row],[Profit]]/tblSales[[#This Row],[Sales]]</f>
        <v>0.24723286567924341</v>
      </c>
      <c r="L619" t="str">
        <f>TEXT(tblSales[[#This Row],[Order Date]],"mmm")</f>
        <v>Dec</v>
      </c>
      <c r="M619">
        <f>YEAR(tblSales[[#This Row],[Order Date]])</f>
        <v>2023</v>
      </c>
    </row>
    <row r="620" spans="1:13">
      <c r="A620" t="s">
        <v>1220</v>
      </c>
      <c r="B620" s="1">
        <v>45282</v>
      </c>
      <c r="C620" t="s">
        <v>14</v>
      </c>
      <c r="D620" t="s">
        <v>73</v>
      </c>
      <c r="E620" t="s">
        <v>164</v>
      </c>
      <c r="F620" t="s">
        <v>1221</v>
      </c>
      <c r="G620">
        <v>1821.69</v>
      </c>
      <c r="H620">
        <v>8</v>
      </c>
      <c r="I620">
        <v>530.15</v>
      </c>
      <c r="J620" t="s">
        <v>29</v>
      </c>
      <c r="K620" s="6">
        <f>tblSales[[#This Row],[Profit]]/tblSales[[#This Row],[Sales]]</f>
        <v>0.29102097502868213</v>
      </c>
      <c r="L620" t="str">
        <f>TEXT(tblSales[[#This Row],[Order Date]],"mmm")</f>
        <v>Dec</v>
      </c>
      <c r="M620">
        <f>YEAR(tblSales[[#This Row],[Order Date]])</f>
        <v>2023</v>
      </c>
    </row>
    <row r="621" spans="1:13">
      <c r="A621" t="s">
        <v>1222</v>
      </c>
      <c r="B621" s="1">
        <v>45283</v>
      </c>
      <c r="C621" t="s">
        <v>33</v>
      </c>
      <c r="D621" t="s">
        <v>26</v>
      </c>
      <c r="E621" t="s">
        <v>34</v>
      </c>
      <c r="F621" t="s">
        <v>1223</v>
      </c>
      <c r="G621">
        <v>1380.3</v>
      </c>
      <c r="H621">
        <v>1</v>
      </c>
      <c r="I621">
        <v>389.99</v>
      </c>
      <c r="J621" t="s">
        <v>18</v>
      </c>
      <c r="K621" s="6">
        <f>tblSales[[#This Row],[Profit]]/tblSales[[#This Row],[Sales]]</f>
        <v>0.28254002753024704</v>
      </c>
      <c r="L621" t="str">
        <f>TEXT(tblSales[[#This Row],[Order Date]],"mmm")</f>
        <v>Dec</v>
      </c>
      <c r="M621">
        <f>YEAR(tblSales[[#This Row],[Order Date]])</f>
        <v>2023</v>
      </c>
    </row>
    <row r="622" spans="1:13">
      <c r="A622" t="s">
        <v>1224</v>
      </c>
      <c r="B622" s="1">
        <v>45284</v>
      </c>
      <c r="C622" t="s">
        <v>20</v>
      </c>
      <c r="D622" t="s">
        <v>73</v>
      </c>
      <c r="E622" t="s">
        <v>84</v>
      </c>
      <c r="F622" t="s">
        <v>683</v>
      </c>
      <c r="G622">
        <v>1358.18</v>
      </c>
      <c r="H622">
        <v>7</v>
      </c>
      <c r="I622">
        <v>154.22999999999999</v>
      </c>
      <c r="J622" t="s">
        <v>29</v>
      </c>
      <c r="K622" s="6">
        <f>tblSales[[#This Row],[Profit]]/tblSales[[#This Row],[Sales]]</f>
        <v>0.11355637691616721</v>
      </c>
      <c r="L622" t="str">
        <f>TEXT(tblSales[[#This Row],[Order Date]],"mmm")</f>
        <v>Dec</v>
      </c>
      <c r="M622">
        <f>YEAR(tblSales[[#This Row],[Order Date]])</f>
        <v>2023</v>
      </c>
    </row>
    <row r="623" spans="1:13">
      <c r="A623" t="s">
        <v>1225</v>
      </c>
      <c r="B623" s="1">
        <v>45285</v>
      </c>
      <c r="C623" t="s">
        <v>33</v>
      </c>
      <c r="D623" t="s">
        <v>21</v>
      </c>
      <c r="E623" t="s">
        <v>89</v>
      </c>
      <c r="F623" t="s">
        <v>1226</v>
      </c>
      <c r="G623">
        <v>381.96</v>
      </c>
      <c r="H623">
        <v>8</v>
      </c>
      <c r="I623">
        <v>91.77</v>
      </c>
      <c r="J623" t="s">
        <v>24</v>
      </c>
      <c r="K623" s="6">
        <f>tblSales[[#This Row],[Profit]]/tblSales[[#This Row],[Sales]]</f>
        <v>0.24026076028903551</v>
      </c>
      <c r="L623" t="str">
        <f>TEXT(tblSales[[#This Row],[Order Date]],"mmm")</f>
        <v>Dec</v>
      </c>
      <c r="M623">
        <f>YEAR(tblSales[[#This Row],[Order Date]])</f>
        <v>2023</v>
      </c>
    </row>
    <row r="624" spans="1:13">
      <c r="A624" t="s">
        <v>1227</v>
      </c>
      <c r="B624" s="1">
        <v>45286</v>
      </c>
      <c r="C624" t="s">
        <v>14</v>
      </c>
      <c r="D624" t="s">
        <v>21</v>
      </c>
      <c r="E624" t="s">
        <v>22</v>
      </c>
      <c r="F624" t="s">
        <v>1228</v>
      </c>
      <c r="G624">
        <v>1889.08</v>
      </c>
      <c r="H624">
        <v>9</v>
      </c>
      <c r="I624">
        <v>144.21</v>
      </c>
      <c r="J624" t="s">
        <v>29</v>
      </c>
      <c r="K624" s="6">
        <f>tblSales[[#This Row],[Profit]]/tblSales[[#This Row],[Sales]]</f>
        <v>7.6338746903254498E-2</v>
      </c>
      <c r="L624" t="str">
        <f>TEXT(tblSales[[#This Row],[Order Date]],"mmm")</f>
        <v>Dec</v>
      </c>
      <c r="M624">
        <f>YEAR(tblSales[[#This Row],[Order Date]])</f>
        <v>2023</v>
      </c>
    </row>
    <row r="625" spans="1:13">
      <c r="A625" t="s">
        <v>1229</v>
      </c>
      <c r="B625" s="1">
        <v>45287</v>
      </c>
      <c r="C625" t="s">
        <v>33</v>
      </c>
      <c r="D625" t="s">
        <v>40</v>
      </c>
      <c r="E625" t="s">
        <v>41</v>
      </c>
      <c r="F625" t="s">
        <v>1230</v>
      </c>
      <c r="G625">
        <v>1998.94</v>
      </c>
      <c r="H625">
        <v>1</v>
      </c>
      <c r="I625">
        <v>279.88</v>
      </c>
      <c r="J625" t="s">
        <v>18</v>
      </c>
      <c r="K625" s="6">
        <f>tblSales[[#This Row],[Profit]]/tblSales[[#This Row],[Sales]]</f>
        <v>0.14001420752999089</v>
      </c>
      <c r="L625" t="str">
        <f>TEXT(tblSales[[#This Row],[Order Date]],"mmm")</f>
        <v>Dec</v>
      </c>
      <c r="M625">
        <f>YEAR(tblSales[[#This Row],[Order Date]])</f>
        <v>2023</v>
      </c>
    </row>
    <row r="626" spans="1:13">
      <c r="A626" t="s">
        <v>1231</v>
      </c>
      <c r="B626" s="1">
        <v>45288</v>
      </c>
      <c r="C626" t="s">
        <v>20</v>
      </c>
      <c r="D626" t="s">
        <v>15</v>
      </c>
      <c r="E626" t="s">
        <v>52</v>
      </c>
      <c r="F626" t="s">
        <v>1232</v>
      </c>
      <c r="G626">
        <v>1010.79</v>
      </c>
      <c r="H626">
        <v>9</v>
      </c>
      <c r="I626">
        <v>170.82</v>
      </c>
      <c r="J626" t="s">
        <v>29</v>
      </c>
      <c r="K626" s="6">
        <f>tblSales[[#This Row],[Profit]]/tblSales[[#This Row],[Sales]]</f>
        <v>0.16899652746861366</v>
      </c>
      <c r="L626" t="str">
        <f>TEXT(tblSales[[#This Row],[Order Date]],"mmm")</f>
        <v>Dec</v>
      </c>
      <c r="M626">
        <f>YEAR(tblSales[[#This Row],[Order Date]])</f>
        <v>2023</v>
      </c>
    </row>
    <row r="627" spans="1:13">
      <c r="A627" t="s">
        <v>1233</v>
      </c>
      <c r="B627" s="1">
        <v>45289</v>
      </c>
      <c r="C627" t="s">
        <v>20</v>
      </c>
      <c r="D627" t="s">
        <v>21</v>
      </c>
      <c r="E627" t="s">
        <v>22</v>
      </c>
      <c r="F627" t="s">
        <v>1234</v>
      </c>
      <c r="G627">
        <v>1276.1600000000001</v>
      </c>
      <c r="H627">
        <v>3</v>
      </c>
      <c r="I627">
        <v>181.79</v>
      </c>
      <c r="J627" t="s">
        <v>24</v>
      </c>
      <c r="K627" s="6">
        <f>tblSales[[#This Row],[Profit]]/tblSales[[#This Row],[Sales]]</f>
        <v>0.14245078986960882</v>
      </c>
      <c r="L627" t="str">
        <f>TEXT(tblSales[[#This Row],[Order Date]],"mmm")</f>
        <v>Dec</v>
      </c>
      <c r="M627">
        <f>YEAR(tblSales[[#This Row],[Order Date]])</f>
        <v>2023</v>
      </c>
    </row>
    <row r="628" spans="1:13">
      <c r="A628" t="s">
        <v>1235</v>
      </c>
      <c r="B628" s="1">
        <v>45290</v>
      </c>
      <c r="C628" t="s">
        <v>39</v>
      </c>
      <c r="D628" t="s">
        <v>15</v>
      </c>
      <c r="E628" t="s">
        <v>52</v>
      </c>
      <c r="F628" t="s">
        <v>1236</v>
      </c>
      <c r="G628">
        <v>844.68</v>
      </c>
      <c r="H628">
        <v>4</v>
      </c>
      <c r="I628">
        <v>221.8</v>
      </c>
      <c r="J628" t="s">
        <v>29</v>
      </c>
      <c r="K628" s="6">
        <f>tblSales[[#This Row],[Profit]]/tblSales[[#This Row],[Sales]]</f>
        <v>0.26258464744045085</v>
      </c>
      <c r="L628" t="str">
        <f>TEXT(tblSales[[#This Row],[Order Date]],"mmm")</f>
        <v>Dec</v>
      </c>
      <c r="M628">
        <f>YEAR(tblSales[[#This Row],[Order Date]])</f>
        <v>2023</v>
      </c>
    </row>
    <row r="629" spans="1:13">
      <c r="A629" t="s">
        <v>1237</v>
      </c>
      <c r="B629" s="1">
        <v>45291</v>
      </c>
      <c r="C629" t="s">
        <v>20</v>
      </c>
      <c r="D629" t="s">
        <v>40</v>
      </c>
      <c r="E629" t="s">
        <v>41</v>
      </c>
      <c r="F629" t="s">
        <v>419</v>
      </c>
      <c r="G629">
        <v>1321.56</v>
      </c>
      <c r="H629">
        <v>6</v>
      </c>
      <c r="I629">
        <v>356.87</v>
      </c>
      <c r="J629" t="s">
        <v>24</v>
      </c>
      <c r="K629" s="6">
        <f>tblSales[[#This Row],[Profit]]/tblSales[[#This Row],[Sales]]</f>
        <v>0.27003692605708407</v>
      </c>
      <c r="L629" t="str">
        <f>TEXT(tblSales[[#This Row],[Order Date]],"mmm")</f>
        <v>Dec</v>
      </c>
      <c r="M629">
        <f>YEAR(tblSales[[#This Row],[Order Date]])</f>
        <v>2023</v>
      </c>
    </row>
    <row r="630" spans="1:13">
      <c r="A630" t="s">
        <v>1238</v>
      </c>
      <c r="B630" s="1">
        <v>45292</v>
      </c>
      <c r="C630" t="s">
        <v>33</v>
      </c>
      <c r="D630" t="s">
        <v>15</v>
      </c>
      <c r="E630" t="s">
        <v>52</v>
      </c>
      <c r="F630" t="s">
        <v>1239</v>
      </c>
      <c r="G630">
        <v>1512.97</v>
      </c>
      <c r="H630">
        <v>2</v>
      </c>
      <c r="I630">
        <v>224.95</v>
      </c>
      <c r="J630" t="s">
        <v>29</v>
      </c>
      <c r="K630" s="6">
        <f>tblSales[[#This Row],[Profit]]/tblSales[[#This Row],[Sales]]</f>
        <v>0.14868107100603448</v>
      </c>
      <c r="L630" t="str">
        <f>TEXT(tblSales[[#This Row],[Order Date]],"mmm")</f>
        <v>Jan</v>
      </c>
      <c r="M630">
        <f>YEAR(tblSales[[#This Row],[Order Date]])</f>
        <v>2024</v>
      </c>
    </row>
    <row r="631" spans="1:13">
      <c r="A631" t="s">
        <v>1240</v>
      </c>
      <c r="B631" s="1">
        <v>45293</v>
      </c>
      <c r="C631" t="s">
        <v>33</v>
      </c>
      <c r="D631" t="s">
        <v>73</v>
      </c>
      <c r="E631" t="s">
        <v>84</v>
      </c>
      <c r="F631" t="s">
        <v>1241</v>
      </c>
      <c r="G631">
        <v>1482.42</v>
      </c>
      <c r="H631">
        <v>6</v>
      </c>
      <c r="I631">
        <v>313.10000000000002</v>
      </c>
      <c r="J631" t="s">
        <v>18</v>
      </c>
      <c r="K631" s="6">
        <f>tblSales[[#This Row],[Profit]]/tblSales[[#This Row],[Sales]]</f>
        <v>0.21120869928900043</v>
      </c>
      <c r="L631" t="str">
        <f>TEXT(tblSales[[#This Row],[Order Date]],"mmm")</f>
        <v>Jan</v>
      </c>
      <c r="M631">
        <f>YEAR(tblSales[[#This Row],[Order Date]])</f>
        <v>2024</v>
      </c>
    </row>
    <row r="632" spans="1:13">
      <c r="A632" t="s">
        <v>1242</v>
      </c>
      <c r="B632" s="1">
        <v>45294</v>
      </c>
      <c r="C632" t="s">
        <v>33</v>
      </c>
      <c r="D632" t="s">
        <v>15</v>
      </c>
      <c r="E632" t="s">
        <v>52</v>
      </c>
      <c r="F632" t="s">
        <v>1243</v>
      </c>
      <c r="G632">
        <v>1432.15</v>
      </c>
      <c r="H632">
        <v>6</v>
      </c>
      <c r="I632">
        <v>278.97000000000003</v>
      </c>
      <c r="J632" t="s">
        <v>24</v>
      </c>
      <c r="K632" s="6">
        <f>tblSales[[#This Row],[Profit]]/tblSales[[#This Row],[Sales]]</f>
        <v>0.19479104842369865</v>
      </c>
      <c r="L632" t="str">
        <f>TEXT(tblSales[[#This Row],[Order Date]],"mmm")</f>
        <v>Jan</v>
      </c>
      <c r="M632">
        <f>YEAR(tblSales[[#This Row],[Order Date]])</f>
        <v>2024</v>
      </c>
    </row>
    <row r="633" spans="1:13">
      <c r="A633" t="s">
        <v>1244</v>
      </c>
      <c r="B633" s="1">
        <v>45295</v>
      </c>
      <c r="C633" t="s">
        <v>33</v>
      </c>
      <c r="D633" t="s">
        <v>15</v>
      </c>
      <c r="E633" t="s">
        <v>60</v>
      </c>
      <c r="F633" t="s">
        <v>1245</v>
      </c>
      <c r="G633">
        <v>135.02000000000001</v>
      </c>
      <c r="H633">
        <v>6</v>
      </c>
      <c r="I633">
        <v>33.15</v>
      </c>
      <c r="J633" t="s">
        <v>24</v>
      </c>
      <c r="K633" s="6">
        <f>tblSales[[#This Row],[Profit]]/tblSales[[#This Row],[Sales]]</f>
        <v>0.24551918234335651</v>
      </c>
      <c r="L633" t="str">
        <f>TEXT(tblSales[[#This Row],[Order Date]],"mmm")</f>
        <v>Jan</v>
      </c>
      <c r="M633">
        <f>YEAR(tblSales[[#This Row],[Order Date]])</f>
        <v>2024</v>
      </c>
    </row>
    <row r="634" spans="1:13">
      <c r="A634" t="s">
        <v>1246</v>
      </c>
      <c r="B634" s="1">
        <v>45296</v>
      </c>
      <c r="C634" t="s">
        <v>14</v>
      </c>
      <c r="D634" t="s">
        <v>15</v>
      </c>
      <c r="E634" t="s">
        <v>52</v>
      </c>
      <c r="F634" t="s">
        <v>1247</v>
      </c>
      <c r="G634">
        <v>217.74</v>
      </c>
      <c r="H634">
        <v>5</v>
      </c>
      <c r="I634">
        <v>60.48</v>
      </c>
      <c r="J634" t="s">
        <v>24</v>
      </c>
      <c r="K634" s="6">
        <f>tblSales[[#This Row],[Profit]]/tblSales[[#This Row],[Sales]]</f>
        <v>0.2777624689997244</v>
      </c>
      <c r="L634" t="str">
        <f>TEXT(tblSales[[#This Row],[Order Date]],"mmm")</f>
        <v>Jan</v>
      </c>
      <c r="M634">
        <f>YEAR(tblSales[[#This Row],[Order Date]])</f>
        <v>2024</v>
      </c>
    </row>
    <row r="635" spans="1:13">
      <c r="A635" t="s">
        <v>1248</v>
      </c>
      <c r="B635" s="1">
        <v>45297</v>
      </c>
      <c r="C635" t="s">
        <v>39</v>
      </c>
      <c r="D635" t="s">
        <v>40</v>
      </c>
      <c r="E635" t="s">
        <v>41</v>
      </c>
      <c r="F635" t="s">
        <v>1249</v>
      </c>
      <c r="G635">
        <v>82.22</v>
      </c>
      <c r="H635">
        <v>3</v>
      </c>
      <c r="I635">
        <v>12.42</v>
      </c>
      <c r="J635" t="s">
        <v>24</v>
      </c>
      <c r="K635" s="6">
        <f>tblSales[[#This Row],[Profit]]/tblSales[[#This Row],[Sales]]</f>
        <v>0.15105813670639748</v>
      </c>
      <c r="L635" t="str">
        <f>TEXT(tblSales[[#This Row],[Order Date]],"mmm")</f>
        <v>Jan</v>
      </c>
      <c r="M635">
        <f>YEAR(tblSales[[#This Row],[Order Date]])</f>
        <v>2024</v>
      </c>
    </row>
    <row r="636" spans="1:13">
      <c r="A636" t="s">
        <v>1250</v>
      </c>
      <c r="B636" s="1">
        <v>45298</v>
      </c>
      <c r="C636" t="s">
        <v>39</v>
      </c>
      <c r="D636" t="s">
        <v>73</v>
      </c>
      <c r="E636" t="s">
        <v>84</v>
      </c>
      <c r="F636" t="s">
        <v>1251</v>
      </c>
      <c r="G636">
        <v>1198.3599999999999</v>
      </c>
      <c r="H636">
        <v>8</v>
      </c>
      <c r="I636">
        <v>277.08</v>
      </c>
      <c r="J636" t="s">
        <v>29</v>
      </c>
      <c r="K636" s="6">
        <f>tblSales[[#This Row],[Profit]]/tblSales[[#This Row],[Sales]]</f>
        <v>0.23121599519343103</v>
      </c>
      <c r="L636" t="str">
        <f>TEXT(tblSales[[#This Row],[Order Date]],"mmm")</f>
        <v>Jan</v>
      </c>
      <c r="M636">
        <f>YEAR(tblSales[[#This Row],[Order Date]])</f>
        <v>2024</v>
      </c>
    </row>
    <row r="637" spans="1:13">
      <c r="A637" t="s">
        <v>1252</v>
      </c>
      <c r="B637" s="1">
        <v>45299</v>
      </c>
      <c r="C637" t="s">
        <v>39</v>
      </c>
      <c r="D637" t="s">
        <v>73</v>
      </c>
      <c r="E637" t="s">
        <v>84</v>
      </c>
      <c r="F637" t="s">
        <v>1253</v>
      </c>
      <c r="G637">
        <v>1047.68</v>
      </c>
      <c r="H637">
        <v>6</v>
      </c>
      <c r="I637">
        <v>252.05</v>
      </c>
      <c r="J637" t="s">
        <v>29</v>
      </c>
      <c r="K637" s="6">
        <f>tblSales[[#This Row],[Profit]]/tblSales[[#This Row],[Sales]]</f>
        <v>0.24057918448381185</v>
      </c>
      <c r="L637" t="str">
        <f>TEXT(tblSales[[#This Row],[Order Date]],"mmm")</f>
        <v>Jan</v>
      </c>
      <c r="M637">
        <f>YEAR(tblSales[[#This Row],[Order Date]])</f>
        <v>2024</v>
      </c>
    </row>
    <row r="638" spans="1:13">
      <c r="A638" t="s">
        <v>1254</v>
      </c>
      <c r="B638" s="1">
        <v>45300</v>
      </c>
      <c r="C638" t="s">
        <v>20</v>
      </c>
      <c r="D638" t="s">
        <v>40</v>
      </c>
      <c r="E638" t="s">
        <v>44</v>
      </c>
      <c r="F638" t="s">
        <v>1255</v>
      </c>
      <c r="G638">
        <v>549.16</v>
      </c>
      <c r="H638">
        <v>1</v>
      </c>
      <c r="I638">
        <v>99.03</v>
      </c>
      <c r="J638" t="s">
        <v>29</v>
      </c>
      <c r="K638" s="6">
        <f>tblSales[[#This Row],[Profit]]/tblSales[[#This Row],[Sales]]</f>
        <v>0.1803299584820453</v>
      </c>
      <c r="L638" t="str">
        <f>TEXT(tblSales[[#This Row],[Order Date]],"mmm")</f>
        <v>Jan</v>
      </c>
      <c r="M638">
        <f>YEAR(tblSales[[#This Row],[Order Date]])</f>
        <v>2024</v>
      </c>
    </row>
    <row r="639" spans="1:13">
      <c r="A639" t="s">
        <v>1256</v>
      </c>
      <c r="B639" s="1">
        <v>45301</v>
      </c>
      <c r="C639" t="s">
        <v>14</v>
      </c>
      <c r="D639" t="s">
        <v>21</v>
      </c>
      <c r="E639" t="s">
        <v>22</v>
      </c>
      <c r="F639" t="s">
        <v>1257</v>
      </c>
      <c r="G639">
        <v>1159.2</v>
      </c>
      <c r="H639">
        <v>9</v>
      </c>
      <c r="I639">
        <v>92.8</v>
      </c>
      <c r="J639" t="s">
        <v>18</v>
      </c>
      <c r="K639" s="6">
        <f>tblSales[[#This Row],[Profit]]/tblSales[[#This Row],[Sales]]</f>
        <v>8.0055210489993089E-2</v>
      </c>
      <c r="L639" t="str">
        <f>TEXT(tblSales[[#This Row],[Order Date]],"mmm")</f>
        <v>Jan</v>
      </c>
      <c r="M639">
        <f>YEAR(tblSales[[#This Row],[Order Date]])</f>
        <v>2024</v>
      </c>
    </row>
    <row r="640" spans="1:13">
      <c r="A640" t="s">
        <v>1258</v>
      </c>
      <c r="B640" s="1">
        <v>45302</v>
      </c>
      <c r="C640" t="s">
        <v>39</v>
      </c>
      <c r="D640" t="s">
        <v>40</v>
      </c>
      <c r="E640" t="s">
        <v>92</v>
      </c>
      <c r="F640" t="s">
        <v>1259</v>
      </c>
      <c r="G640">
        <v>54.75</v>
      </c>
      <c r="H640">
        <v>5</v>
      </c>
      <c r="I640">
        <v>7.42</v>
      </c>
      <c r="J640" t="s">
        <v>18</v>
      </c>
      <c r="K640" s="6">
        <f>tblSales[[#This Row],[Profit]]/tblSales[[#This Row],[Sales]]</f>
        <v>0.13552511415525115</v>
      </c>
      <c r="L640" t="str">
        <f>TEXT(tblSales[[#This Row],[Order Date]],"mmm")</f>
        <v>Jan</v>
      </c>
      <c r="M640">
        <f>YEAR(tblSales[[#This Row],[Order Date]])</f>
        <v>2024</v>
      </c>
    </row>
    <row r="641" spans="1:13">
      <c r="A641" t="s">
        <v>1260</v>
      </c>
      <c r="B641" s="1">
        <v>45303</v>
      </c>
      <c r="C641" t="s">
        <v>33</v>
      </c>
      <c r="D641" t="s">
        <v>15</v>
      </c>
      <c r="E641" t="s">
        <v>79</v>
      </c>
      <c r="F641" t="s">
        <v>1261</v>
      </c>
      <c r="G641">
        <v>462.06</v>
      </c>
      <c r="H641">
        <v>9</v>
      </c>
      <c r="I641">
        <v>66.040000000000006</v>
      </c>
      <c r="J641" t="s">
        <v>18</v>
      </c>
      <c r="K641" s="6">
        <f>tblSales[[#This Row],[Profit]]/tblSales[[#This Row],[Sales]]</f>
        <v>0.14292516123447171</v>
      </c>
      <c r="L641" t="str">
        <f>TEXT(tblSales[[#This Row],[Order Date]],"mmm")</f>
        <v>Jan</v>
      </c>
      <c r="M641">
        <f>YEAR(tblSales[[#This Row],[Order Date]])</f>
        <v>2024</v>
      </c>
    </row>
    <row r="642" spans="1:13">
      <c r="A642" t="s">
        <v>1262</v>
      </c>
      <c r="B642" s="1">
        <v>45304</v>
      </c>
      <c r="C642" t="s">
        <v>39</v>
      </c>
      <c r="D642" t="s">
        <v>15</v>
      </c>
      <c r="E642" t="s">
        <v>16</v>
      </c>
      <c r="F642" t="s">
        <v>1263</v>
      </c>
      <c r="G642">
        <v>1332.75</v>
      </c>
      <c r="H642">
        <v>7</v>
      </c>
      <c r="I642">
        <v>359.59</v>
      </c>
      <c r="J642" t="s">
        <v>29</v>
      </c>
      <c r="K642" s="6">
        <f>tblSales[[#This Row],[Profit]]/tblSales[[#This Row],[Sales]]</f>
        <v>0.26981054211217403</v>
      </c>
      <c r="L642" t="str">
        <f>TEXT(tblSales[[#This Row],[Order Date]],"mmm")</f>
        <v>Jan</v>
      </c>
      <c r="M642">
        <f>YEAR(tblSales[[#This Row],[Order Date]])</f>
        <v>2024</v>
      </c>
    </row>
    <row r="643" spans="1:13">
      <c r="A643" t="s">
        <v>1264</v>
      </c>
      <c r="B643" s="1">
        <v>45305</v>
      </c>
      <c r="C643" t="s">
        <v>33</v>
      </c>
      <c r="D643" t="s">
        <v>40</v>
      </c>
      <c r="E643" t="s">
        <v>92</v>
      </c>
      <c r="F643" t="s">
        <v>111</v>
      </c>
      <c r="G643">
        <v>1799.15</v>
      </c>
      <c r="H643">
        <v>1</v>
      </c>
      <c r="I643">
        <v>362.59</v>
      </c>
      <c r="J643" t="s">
        <v>29</v>
      </c>
      <c r="K643" s="6">
        <f>tblSales[[#This Row],[Profit]]/tblSales[[#This Row],[Sales]]</f>
        <v>0.20153405774949279</v>
      </c>
      <c r="L643" t="str">
        <f>TEXT(tblSales[[#This Row],[Order Date]],"mmm")</f>
        <v>Jan</v>
      </c>
      <c r="M643">
        <f>YEAR(tblSales[[#This Row],[Order Date]])</f>
        <v>2024</v>
      </c>
    </row>
    <row r="644" spans="1:13">
      <c r="A644" t="s">
        <v>1265</v>
      </c>
      <c r="B644" s="1">
        <v>45306</v>
      </c>
      <c r="C644" t="s">
        <v>14</v>
      </c>
      <c r="D644" t="s">
        <v>26</v>
      </c>
      <c r="E644" t="s">
        <v>34</v>
      </c>
      <c r="F644" t="s">
        <v>1266</v>
      </c>
      <c r="G644">
        <v>808.05</v>
      </c>
      <c r="H644">
        <v>4</v>
      </c>
      <c r="I644">
        <v>222.1</v>
      </c>
      <c r="J644" t="s">
        <v>29</v>
      </c>
      <c r="K644" s="6">
        <f>tblSales[[#This Row],[Profit]]/tblSales[[#This Row],[Sales]]</f>
        <v>0.27485922900810594</v>
      </c>
      <c r="L644" t="str">
        <f>TEXT(tblSales[[#This Row],[Order Date]],"mmm")</f>
        <v>Jan</v>
      </c>
      <c r="M644">
        <f>YEAR(tblSales[[#This Row],[Order Date]])</f>
        <v>2024</v>
      </c>
    </row>
    <row r="645" spans="1:13">
      <c r="A645" t="s">
        <v>1267</v>
      </c>
      <c r="B645" s="1">
        <v>45307</v>
      </c>
      <c r="C645" t="s">
        <v>39</v>
      </c>
      <c r="D645" t="s">
        <v>26</v>
      </c>
      <c r="E645" t="s">
        <v>27</v>
      </c>
      <c r="F645" t="s">
        <v>1268</v>
      </c>
      <c r="G645">
        <v>508.28</v>
      </c>
      <c r="H645">
        <v>7</v>
      </c>
      <c r="I645">
        <v>110.76</v>
      </c>
      <c r="J645" t="s">
        <v>18</v>
      </c>
      <c r="K645" s="6">
        <f>tblSales[[#This Row],[Profit]]/tblSales[[#This Row],[Sales]]</f>
        <v>0.21791138742425437</v>
      </c>
      <c r="L645" t="str">
        <f>TEXT(tblSales[[#This Row],[Order Date]],"mmm")</f>
        <v>Jan</v>
      </c>
      <c r="M645">
        <f>YEAR(tblSales[[#This Row],[Order Date]])</f>
        <v>2024</v>
      </c>
    </row>
    <row r="646" spans="1:13">
      <c r="A646" t="s">
        <v>1269</v>
      </c>
      <c r="B646" s="1">
        <v>45308</v>
      </c>
      <c r="C646" t="s">
        <v>39</v>
      </c>
      <c r="D646" t="s">
        <v>73</v>
      </c>
      <c r="E646" t="s">
        <v>164</v>
      </c>
      <c r="F646" t="s">
        <v>1270</v>
      </c>
      <c r="G646">
        <v>1980.61</v>
      </c>
      <c r="H646">
        <v>7</v>
      </c>
      <c r="I646">
        <v>487.82</v>
      </c>
      <c r="J646" t="s">
        <v>18</v>
      </c>
      <c r="K646" s="6">
        <f>tblSales[[#This Row],[Profit]]/tblSales[[#This Row],[Sales]]</f>
        <v>0.24629785773069915</v>
      </c>
      <c r="L646" t="str">
        <f>TEXT(tblSales[[#This Row],[Order Date]],"mmm")</f>
        <v>Jan</v>
      </c>
      <c r="M646">
        <f>YEAR(tblSales[[#This Row],[Order Date]])</f>
        <v>2024</v>
      </c>
    </row>
    <row r="647" spans="1:13">
      <c r="A647" t="s">
        <v>1271</v>
      </c>
      <c r="B647" s="1">
        <v>45309</v>
      </c>
      <c r="C647" t="s">
        <v>39</v>
      </c>
      <c r="D647" t="s">
        <v>73</v>
      </c>
      <c r="E647" t="s">
        <v>84</v>
      </c>
      <c r="F647" t="s">
        <v>1272</v>
      </c>
      <c r="G647">
        <v>1296.29</v>
      </c>
      <c r="H647">
        <v>6</v>
      </c>
      <c r="I647">
        <v>183.32</v>
      </c>
      <c r="J647" t="s">
        <v>29</v>
      </c>
      <c r="K647" s="6">
        <f>tblSales[[#This Row],[Profit]]/tblSales[[#This Row],[Sales]]</f>
        <v>0.14141897260643838</v>
      </c>
      <c r="L647" t="str">
        <f>TEXT(tblSales[[#This Row],[Order Date]],"mmm")</f>
        <v>Jan</v>
      </c>
      <c r="M647">
        <f>YEAR(tblSales[[#This Row],[Order Date]])</f>
        <v>2024</v>
      </c>
    </row>
    <row r="648" spans="1:13">
      <c r="A648" t="s">
        <v>1273</v>
      </c>
      <c r="B648" s="1">
        <v>45310</v>
      </c>
      <c r="C648" t="s">
        <v>33</v>
      </c>
      <c r="D648" t="s">
        <v>21</v>
      </c>
      <c r="E648" t="s">
        <v>57</v>
      </c>
      <c r="F648" t="s">
        <v>1274</v>
      </c>
      <c r="G648">
        <v>407.75</v>
      </c>
      <c r="H648">
        <v>9</v>
      </c>
      <c r="I648">
        <v>83.83</v>
      </c>
      <c r="J648" t="s">
        <v>29</v>
      </c>
      <c r="K648" s="6">
        <f>tblSales[[#This Row],[Profit]]/tblSales[[#This Row],[Sales]]</f>
        <v>0.20559166155732678</v>
      </c>
      <c r="L648" t="str">
        <f>TEXT(tblSales[[#This Row],[Order Date]],"mmm")</f>
        <v>Jan</v>
      </c>
      <c r="M648">
        <f>YEAR(tblSales[[#This Row],[Order Date]])</f>
        <v>2024</v>
      </c>
    </row>
    <row r="649" spans="1:13">
      <c r="A649" t="s">
        <v>1275</v>
      </c>
      <c r="B649" s="1">
        <v>45311</v>
      </c>
      <c r="C649" t="s">
        <v>20</v>
      </c>
      <c r="D649" t="s">
        <v>26</v>
      </c>
      <c r="E649" t="s">
        <v>34</v>
      </c>
      <c r="F649" t="s">
        <v>1266</v>
      </c>
      <c r="G649">
        <v>566.95000000000005</v>
      </c>
      <c r="H649">
        <v>5</v>
      </c>
      <c r="I649">
        <v>103.08</v>
      </c>
      <c r="J649" t="s">
        <v>29</v>
      </c>
      <c r="K649" s="6">
        <f>tblSales[[#This Row],[Profit]]/tblSales[[#This Row],[Sales]]</f>
        <v>0.18181497486550841</v>
      </c>
      <c r="L649" t="str">
        <f>TEXT(tblSales[[#This Row],[Order Date]],"mmm")</f>
        <v>Jan</v>
      </c>
      <c r="M649">
        <f>YEAR(tblSales[[#This Row],[Order Date]])</f>
        <v>2024</v>
      </c>
    </row>
    <row r="650" spans="1:13">
      <c r="A650" t="s">
        <v>1276</v>
      </c>
      <c r="B650" s="1">
        <v>45312</v>
      </c>
      <c r="C650" t="s">
        <v>39</v>
      </c>
      <c r="D650" t="s">
        <v>21</v>
      </c>
      <c r="E650" t="s">
        <v>89</v>
      </c>
      <c r="F650" t="s">
        <v>1277</v>
      </c>
      <c r="G650">
        <v>1354.78</v>
      </c>
      <c r="H650">
        <v>1</v>
      </c>
      <c r="I650">
        <v>184.65</v>
      </c>
      <c r="J650" t="s">
        <v>18</v>
      </c>
      <c r="K650" s="6">
        <f>tblSales[[#This Row],[Profit]]/tblSales[[#This Row],[Sales]]</f>
        <v>0.13629519183926542</v>
      </c>
      <c r="L650" t="str">
        <f>TEXT(tblSales[[#This Row],[Order Date]],"mmm")</f>
        <v>Jan</v>
      </c>
      <c r="M650">
        <f>YEAR(tblSales[[#This Row],[Order Date]])</f>
        <v>2024</v>
      </c>
    </row>
    <row r="651" spans="1:13">
      <c r="A651" t="s">
        <v>1278</v>
      </c>
      <c r="B651" s="1">
        <v>45313</v>
      </c>
      <c r="C651" t="s">
        <v>33</v>
      </c>
      <c r="D651" t="s">
        <v>40</v>
      </c>
      <c r="E651" t="s">
        <v>92</v>
      </c>
      <c r="F651" t="s">
        <v>1279</v>
      </c>
      <c r="G651">
        <v>595.20000000000005</v>
      </c>
      <c r="H651">
        <v>9</v>
      </c>
      <c r="I651">
        <v>162.21</v>
      </c>
      <c r="J651" t="s">
        <v>24</v>
      </c>
      <c r="K651" s="6">
        <f>tblSales[[#This Row],[Profit]]/tblSales[[#This Row],[Sales]]</f>
        <v>0.27253024193548386</v>
      </c>
      <c r="L651" t="str">
        <f>TEXT(tblSales[[#This Row],[Order Date]],"mmm")</f>
        <v>Jan</v>
      </c>
      <c r="M651">
        <f>YEAR(tblSales[[#This Row],[Order Date]])</f>
        <v>2024</v>
      </c>
    </row>
    <row r="652" spans="1:13">
      <c r="A652" t="s">
        <v>1280</v>
      </c>
      <c r="B652" s="1">
        <v>45314</v>
      </c>
      <c r="C652" t="s">
        <v>20</v>
      </c>
      <c r="D652" t="s">
        <v>15</v>
      </c>
      <c r="E652" t="s">
        <v>79</v>
      </c>
      <c r="F652" t="s">
        <v>1281</v>
      </c>
      <c r="G652">
        <v>143.16</v>
      </c>
      <c r="H652">
        <v>1</v>
      </c>
      <c r="I652">
        <v>40.46</v>
      </c>
      <c r="J652" t="s">
        <v>24</v>
      </c>
      <c r="K652" s="6">
        <f>tblSales[[#This Row],[Profit]]/tblSales[[#This Row],[Sales]]</f>
        <v>0.28262084381112046</v>
      </c>
      <c r="L652" t="str">
        <f>TEXT(tblSales[[#This Row],[Order Date]],"mmm")</f>
        <v>Jan</v>
      </c>
      <c r="M652">
        <f>YEAR(tblSales[[#This Row],[Order Date]])</f>
        <v>2024</v>
      </c>
    </row>
    <row r="653" spans="1:13">
      <c r="A653" t="s">
        <v>1282</v>
      </c>
      <c r="B653" s="1">
        <v>45315</v>
      </c>
      <c r="C653" t="s">
        <v>39</v>
      </c>
      <c r="D653" t="s">
        <v>40</v>
      </c>
      <c r="E653" t="s">
        <v>44</v>
      </c>
      <c r="F653" t="s">
        <v>1283</v>
      </c>
      <c r="G653">
        <v>475.9</v>
      </c>
      <c r="H653">
        <v>8</v>
      </c>
      <c r="I653">
        <v>39.770000000000003</v>
      </c>
      <c r="J653" t="s">
        <v>24</v>
      </c>
      <c r="K653" s="6">
        <f>tblSales[[#This Row],[Profit]]/tblSales[[#This Row],[Sales]]</f>
        <v>8.3567976465644053E-2</v>
      </c>
      <c r="L653" t="str">
        <f>TEXT(tblSales[[#This Row],[Order Date]],"mmm")</f>
        <v>Jan</v>
      </c>
      <c r="M653">
        <f>YEAR(tblSales[[#This Row],[Order Date]])</f>
        <v>2024</v>
      </c>
    </row>
    <row r="654" spans="1:13">
      <c r="A654" t="s">
        <v>1284</v>
      </c>
      <c r="B654" s="1">
        <v>45316</v>
      </c>
      <c r="C654" t="s">
        <v>20</v>
      </c>
      <c r="D654" t="s">
        <v>40</v>
      </c>
      <c r="E654" t="s">
        <v>41</v>
      </c>
      <c r="F654" t="s">
        <v>271</v>
      </c>
      <c r="G654">
        <v>1526.95</v>
      </c>
      <c r="H654">
        <v>5</v>
      </c>
      <c r="I654">
        <v>443.7</v>
      </c>
      <c r="J654" t="s">
        <v>29</v>
      </c>
      <c r="K654" s="6">
        <f>tblSales[[#This Row],[Profit]]/tblSales[[#This Row],[Sales]]</f>
        <v>0.2905792593077704</v>
      </c>
      <c r="L654" t="str">
        <f>TEXT(tblSales[[#This Row],[Order Date]],"mmm")</f>
        <v>Jan</v>
      </c>
      <c r="M654">
        <f>YEAR(tblSales[[#This Row],[Order Date]])</f>
        <v>2024</v>
      </c>
    </row>
    <row r="655" spans="1:13">
      <c r="A655" t="s">
        <v>1285</v>
      </c>
      <c r="B655" s="1">
        <v>45317</v>
      </c>
      <c r="C655" t="s">
        <v>20</v>
      </c>
      <c r="D655" t="s">
        <v>26</v>
      </c>
      <c r="E655" t="s">
        <v>27</v>
      </c>
      <c r="F655" t="s">
        <v>31</v>
      </c>
      <c r="G655">
        <v>1858.75</v>
      </c>
      <c r="H655">
        <v>2</v>
      </c>
      <c r="I655">
        <v>347.06</v>
      </c>
      <c r="J655" t="s">
        <v>18</v>
      </c>
      <c r="K655" s="6">
        <f>tblSales[[#This Row],[Profit]]/tblSales[[#This Row],[Sales]]</f>
        <v>0.18671687962340283</v>
      </c>
      <c r="L655" t="str">
        <f>TEXT(tblSales[[#This Row],[Order Date]],"mmm")</f>
        <v>Jan</v>
      </c>
      <c r="M655">
        <f>YEAR(tblSales[[#This Row],[Order Date]])</f>
        <v>2024</v>
      </c>
    </row>
    <row r="656" spans="1:13">
      <c r="A656" t="s">
        <v>1286</v>
      </c>
      <c r="B656" s="1">
        <v>45318</v>
      </c>
      <c r="C656" t="s">
        <v>20</v>
      </c>
      <c r="D656" t="s">
        <v>73</v>
      </c>
      <c r="E656" t="s">
        <v>84</v>
      </c>
      <c r="F656" t="s">
        <v>1287</v>
      </c>
      <c r="G656">
        <v>928.02</v>
      </c>
      <c r="H656">
        <v>3</v>
      </c>
      <c r="I656">
        <v>84.86</v>
      </c>
      <c r="J656" t="s">
        <v>18</v>
      </c>
      <c r="K656" s="6">
        <f>tblSales[[#This Row],[Profit]]/tblSales[[#This Row],[Sales]]</f>
        <v>9.1441994784595165E-2</v>
      </c>
      <c r="L656" t="str">
        <f>TEXT(tblSales[[#This Row],[Order Date]],"mmm")</f>
        <v>Jan</v>
      </c>
      <c r="M656">
        <f>YEAR(tblSales[[#This Row],[Order Date]])</f>
        <v>2024</v>
      </c>
    </row>
    <row r="657" spans="1:13">
      <c r="A657" t="s">
        <v>1288</v>
      </c>
      <c r="B657" s="1">
        <v>45319</v>
      </c>
      <c r="C657" t="s">
        <v>14</v>
      </c>
      <c r="D657" t="s">
        <v>40</v>
      </c>
      <c r="E657" t="s">
        <v>92</v>
      </c>
      <c r="F657" t="s">
        <v>1289</v>
      </c>
      <c r="G657">
        <v>434.19</v>
      </c>
      <c r="H657">
        <v>1</v>
      </c>
      <c r="I657">
        <v>36.58</v>
      </c>
      <c r="J657" t="s">
        <v>29</v>
      </c>
      <c r="K657" s="6">
        <f>tblSales[[#This Row],[Profit]]/tblSales[[#This Row],[Sales]]</f>
        <v>8.4248831156866807E-2</v>
      </c>
      <c r="L657" t="str">
        <f>TEXT(tblSales[[#This Row],[Order Date]],"mmm")</f>
        <v>Jan</v>
      </c>
      <c r="M657">
        <f>YEAR(tblSales[[#This Row],[Order Date]])</f>
        <v>2024</v>
      </c>
    </row>
    <row r="658" spans="1:13">
      <c r="A658" t="s">
        <v>1290</v>
      </c>
      <c r="B658" s="1">
        <v>45320</v>
      </c>
      <c r="C658" t="s">
        <v>20</v>
      </c>
      <c r="D658" t="s">
        <v>73</v>
      </c>
      <c r="E658" t="s">
        <v>164</v>
      </c>
      <c r="F658" t="s">
        <v>1291</v>
      </c>
      <c r="G658">
        <v>1063.92</v>
      </c>
      <c r="H658">
        <v>6</v>
      </c>
      <c r="I658">
        <v>82.16</v>
      </c>
      <c r="J658" t="s">
        <v>24</v>
      </c>
      <c r="K658" s="6">
        <f>tblSales[[#This Row],[Profit]]/tblSales[[#This Row],[Sales]]</f>
        <v>7.7223851417399791E-2</v>
      </c>
      <c r="L658" t="str">
        <f>TEXT(tblSales[[#This Row],[Order Date]],"mmm")</f>
        <v>Jan</v>
      </c>
      <c r="M658">
        <f>YEAR(tblSales[[#This Row],[Order Date]])</f>
        <v>2024</v>
      </c>
    </row>
    <row r="659" spans="1:13">
      <c r="A659" t="s">
        <v>1292</v>
      </c>
      <c r="B659" s="1">
        <v>45321</v>
      </c>
      <c r="C659" t="s">
        <v>14</v>
      </c>
      <c r="D659" t="s">
        <v>40</v>
      </c>
      <c r="E659" t="s">
        <v>44</v>
      </c>
      <c r="F659" t="s">
        <v>1293</v>
      </c>
      <c r="G659">
        <v>1006.51</v>
      </c>
      <c r="H659">
        <v>8</v>
      </c>
      <c r="I659">
        <v>229.41</v>
      </c>
      <c r="J659" t="s">
        <v>24</v>
      </c>
      <c r="K659" s="6">
        <f>tblSales[[#This Row],[Profit]]/tblSales[[#This Row],[Sales]]</f>
        <v>0.22792620043516706</v>
      </c>
      <c r="L659" t="str">
        <f>TEXT(tblSales[[#This Row],[Order Date]],"mmm")</f>
        <v>Jan</v>
      </c>
      <c r="M659">
        <f>YEAR(tblSales[[#This Row],[Order Date]])</f>
        <v>2024</v>
      </c>
    </row>
    <row r="660" spans="1:13">
      <c r="A660" t="s">
        <v>1294</v>
      </c>
      <c r="B660" s="1">
        <v>45322</v>
      </c>
      <c r="C660" t="s">
        <v>20</v>
      </c>
      <c r="D660" t="s">
        <v>15</v>
      </c>
      <c r="E660" t="s">
        <v>52</v>
      </c>
      <c r="F660" t="s">
        <v>873</v>
      </c>
      <c r="G660">
        <v>1147.69</v>
      </c>
      <c r="H660">
        <v>5</v>
      </c>
      <c r="I660">
        <v>182.77</v>
      </c>
      <c r="J660" t="s">
        <v>29</v>
      </c>
      <c r="K660" s="6">
        <f>tblSales[[#This Row],[Profit]]/tblSales[[#This Row],[Sales]]</f>
        <v>0.15925032020841864</v>
      </c>
      <c r="L660" t="str">
        <f>TEXT(tblSales[[#This Row],[Order Date]],"mmm")</f>
        <v>Jan</v>
      </c>
      <c r="M660">
        <f>YEAR(tblSales[[#This Row],[Order Date]])</f>
        <v>2024</v>
      </c>
    </row>
    <row r="661" spans="1:13">
      <c r="A661" t="s">
        <v>1295</v>
      </c>
      <c r="B661" s="1">
        <v>45323</v>
      </c>
      <c r="C661" t="s">
        <v>20</v>
      </c>
      <c r="D661" t="s">
        <v>73</v>
      </c>
      <c r="E661" t="s">
        <v>74</v>
      </c>
      <c r="F661" t="s">
        <v>1296</v>
      </c>
      <c r="G661">
        <v>443.63</v>
      </c>
      <c r="H661">
        <v>2</v>
      </c>
      <c r="I661">
        <v>131</v>
      </c>
      <c r="J661" t="s">
        <v>24</v>
      </c>
      <c r="K661" s="6">
        <f>tblSales[[#This Row],[Profit]]/tblSales[[#This Row],[Sales]]</f>
        <v>0.29529112097919435</v>
      </c>
      <c r="L661" t="str">
        <f>TEXT(tblSales[[#This Row],[Order Date]],"mmm")</f>
        <v>Feb</v>
      </c>
      <c r="M661">
        <f>YEAR(tblSales[[#This Row],[Order Date]])</f>
        <v>2024</v>
      </c>
    </row>
    <row r="662" spans="1:13">
      <c r="A662" t="s">
        <v>1297</v>
      </c>
      <c r="B662" s="1">
        <v>45324</v>
      </c>
      <c r="C662" t="s">
        <v>33</v>
      </c>
      <c r="D662" t="s">
        <v>73</v>
      </c>
      <c r="E662" t="s">
        <v>164</v>
      </c>
      <c r="F662" t="s">
        <v>1298</v>
      </c>
      <c r="G662">
        <v>1589.34</v>
      </c>
      <c r="H662">
        <v>2</v>
      </c>
      <c r="I662">
        <v>356.93</v>
      </c>
      <c r="J662" t="s">
        <v>24</v>
      </c>
      <c r="K662" s="6">
        <f>tblSales[[#This Row],[Profit]]/tblSales[[#This Row],[Sales]]</f>
        <v>0.22457749757761084</v>
      </c>
      <c r="L662" t="str">
        <f>TEXT(tblSales[[#This Row],[Order Date]],"mmm")</f>
        <v>Feb</v>
      </c>
      <c r="M662">
        <f>YEAR(tblSales[[#This Row],[Order Date]])</f>
        <v>2024</v>
      </c>
    </row>
    <row r="663" spans="1:13">
      <c r="A663" t="s">
        <v>1299</v>
      </c>
      <c r="B663" s="1">
        <v>45325</v>
      </c>
      <c r="C663" t="s">
        <v>39</v>
      </c>
      <c r="D663" t="s">
        <v>73</v>
      </c>
      <c r="E663" t="s">
        <v>164</v>
      </c>
      <c r="F663" t="s">
        <v>1300</v>
      </c>
      <c r="G663">
        <v>1955.07</v>
      </c>
      <c r="H663">
        <v>7</v>
      </c>
      <c r="I663">
        <v>289.74</v>
      </c>
      <c r="J663" t="s">
        <v>29</v>
      </c>
      <c r="K663" s="6">
        <f>tblSales[[#This Row],[Profit]]/tblSales[[#This Row],[Sales]]</f>
        <v>0.14819929721186453</v>
      </c>
      <c r="L663" t="str">
        <f>TEXT(tblSales[[#This Row],[Order Date]],"mmm")</f>
        <v>Feb</v>
      </c>
      <c r="M663">
        <f>YEAR(tblSales[[#This Row],[Order Date]])</f>
        <v>2024</v>
      </c>
    </row>
    <row r="664" spans="1:13">
      <c r="A664" t="s">
        <v>1301</v>
      </c>
      <c r="B664" s="1">
        <v>45326</v>
      </c>
      <c r="C664" t="s">
        <v>14</v>
      </c>
      <c r="D664" t="s">
        <v>15</v>
      </c>
      <c r="E664" t="s">
        <v>16</v>
      </c>
      <c r="F664" t="s">
        <v>697</v>
      </c>
      <c r="G664">
        <v>1550.72</v>
      </c>
      <c r="H664">
        <v>4</v>
      </c>
      <c r="I664">
        <v>173.42</v>
      </c>
      <c r="J664" t="s">
        <v>29</v>
      </c>
      <c r="K664" s="6">
        <f>tblSales[[#This Row],[Profit]]/tblSales[[#This Row],[Sales]]</f>
        <v>0.11183192323565827</v>
      </c>
      <c r="L664" t="str">
        <f>TEXT(tblSales[[#This Row],[Order Date]],"mmm")</f>
        <v>Feb</v>
      </c>
      <c r="M664">
        <f>YEAR(tblSales[[#This Row],[Order Date]])</f>
        <v>2024</v>
      </c>
    </row>
    <row r="665" spans="1:13">
      <c r="A665" t="s">
        <v>1302</v>
      </c>
      <c r="B665" s="1">
        <v>45327</v>
      </c>
      <c r="C665" t="s">
        <v>20</v>
      </c>
      <c r="D665" t="s">
        <v>73</v>
      </c>
      <c r="E665" t="s">
        <v>74</v>
      </c>
      <c r="F665" t="s">
        <v>1303</v>
      </c>
      <c r="G665">
        <v>1567.07</v>
      </c>
      <c r="H665">
        <v>4</v>
      </c>
      <c r="I665">
        <v>299.74</v>
      </c>
      <c r="J665" t="s">
        <v>29</v>
      </c>
      <c r="K665" s="6">
        <f>tblSales[[#This Row],[Profit]]/tblSales[[#This Row],[Sales]]</f>
        <v>0.19127416133293346</v>
      </c>
      <c r="L665" t="str">
        <f>TEXT(tblSales[[#This Row],[Order Date]],"mmm")</f>
        <v>Feb</v>
      </c>
      <c r="M665">
        <f>YEAR(tblSales[[#This Row],[Order Date]])</f>
        <v>2024</v>
      </c>
    </row>
    <row r="666" spans="1:13">
      <c r="A666" t="s">
        <v>1304</v>
      </c>
      <c r="B666" s="1">
        <v>45328</v>
      </c>
      <c r="C666" t="s">
        <v>20</v>
      </c>
      <c r="D666" t="s">
        <v>21</v>
      </c>
      <c r="E666" t="s">
        <v>22</v>
      </c>
      <c r="F666" t="s">
        <v>1305</v>
      </c>
      <c r="G666">
        <v>1214.07</v>
      </c>
      <c r="H666">
        <v>5</v>
      </c>
      <c r="I666">
        <v>63.45</v>
      </c>
      <c r="J666" t="s">
        <v>24</v>
      </c>
      <c r="K666" s="6">
        <f>tblSales[[#This Row],[Profit]]/tblSales[[#This Row],[Sales]]</f>
        <v>5.2262225407101737E-2</v>
      </c>
      <c r="L666" t="str">
        <f>TEXT(tblSales[[#This Row],[Order Date]],"mmm")</f>
        <v>Feb</v>
      </c>
      <c r="M666">
        <f>YEAR(tblSales[[#This Row],[Order Date]])</f>
        <v>2024</v>
      </c>
    </row>
    <row r="667" spans="1:13">
      <c r="A667" t="s">
        <v>1306</v>
      </c>
      <c r="B667" s="1">
        <v>45329</v>
      </c>
      <c r="C667" t="s">
        <v>20</v>
      </c>
      <c r="D667" t="s">
        <v>21</v>
      </c>
      <c r="E667" t="s">
        <v>89</v>
      </c>
      <c r="F667" t="s">
        <v>1307</v>
      </c>
      <c r="G667">
        <v>472.78</v>
      </c>
      <c r="H667">
        <v>5</v>
      </c>
      <c r="I667">
        <v>49.89</v>
      </c>
      <c r="J667" t="s">
        <v>18</v>
      </c>
      <c r="K667" s="6">
        <f>tblSales[[#This Row],[Profit]]/tblSales[[#This Row],[Sales]]</f>
        <v>0.10552476839121791</v>
      </c>
      <c r="L667" t="str">
        <f>TEXT(tblSales[[#This Row],[Order Date]],"mmm")</f>
        <v>Feb</v>
      </c>
      <c r="M667">
        <f>YEAR(tblSales[[#This Row],[Order Date]])</f>
        <v>2024</v>
      </c>
    </row>
    <row r="668" spans="1:13">
      <c r="A668" t="s">
        <v>1308</v>
      </c>
      <c r="B668" s="1">
        <v>45330</v>
      </c>
      <c r="C668" t="s">
        <v>14</v>
      </c>
      <c r="D668" t="s">
        <v>21</v>
      </c>
      <c r="E668" t="s">
        <v>89</v>
      </c>
      <c r="F668" t="s">
        <v>1309</v>
      </c>
      <c r="G668">
        <v>1463.15</v>
      </c>
      <c r="H668">
        <v>6</v>
      </c>
      <c r="I668">
        <v>229.97</v>
      </c>
      <c r="J668" t="s">
        <v>29</v>
      </c>
      <c r="K668" s="6">
        <f>tblSales[[#This Row],[Profit]]/tblSales[[#This Row],[Sales]]</f>
        <v>0.15717458907152376</v>
      </c>
      <c r="L668" t="str">
        <f>TEXT(tblSales[[#This Row],[Order Date]],"mmm")</f>
        <v>Feb</v>
      </c>
      <c r="M668">
        <f>YEAR(tblSales[[#This Row],[Order Date]])</f>
        <v>2024</v>
      </c>
    </row>
    <row r="669" spans="1:13">
      <c r="A669" t="s">
        <v>1310</v>
      </c>
      <c r="B669" s="1">
        <v>45331</v>
      </c>
      <c r="C669" t="s">
        <v>20</v>
      </c>
      <c r="D669" t="s">
        <v>40</v>
      </c>
      <c r="E669" t="s">
        <v>41</v>
      </c>
      <c r="F669" t="s">
        <v>1311</v>
      </c>
      <c r="G669">
        <v>1791.39</v>
      </c>
      <c r="H669">
        <v>4</v>
      </c>
      <c r="I669">
        <v>218.95</v>
      </c>
      <c r="J669" t="s">
        <v>18</v>
      </c>
      <c r="K669" s="6">
        <f>tblSales[[#This Row],[Profit]]/tblSales[[#This Row],[Sales]]</f>
        <v>0.12222352474893797</v>
      </c>
      <c r="L669" t="str">
        <f>TEXT(tblSales[[#This Row],[Order Date]],"mmm")</f>
        <v>Feb</v>
      </c>
      <c r="M669">
        <f>YEAR(tblSales[[#This Row],[Order Date]])</f>
        <v>2024</v>
      </c>
    </row>
    <row r="670" spans="1:13">
      <c r="A670" t="s">
        <v>1312</v>
      </c>
      <c r="B670" s="1">
        <v>45332</v>
      </c>
      <c r="C670" t="s">
        <v>33</v>
      </c>
      <c r="D670" t="s">
        <v>15</v>
      </c>
      <c r="E670" t="s">
        <v>60</v>
      </c>
      <c r="F670" t="s">
        <v>99</v>
      </c>
      <c r="G670">
        <v>1910.6</v>
      </c>
      <c r="H670">
        <v>1</v>
      </c>
      <c r="I670">
        <v>116.98</v>
      </c>
      <c r="J670" t="s">
        <v>29</v>
      </c>
      <c r="K670" s="6">
        <f>tblSales[[#This Row],[Profit]]/tblSales[[#This Row],[Sales]]</f>
        <v>6.1226839736208523E-2</v>
      </c>
      <c r="L670" t="str">
        <f>TEXT(tblSales[[#This Row],[Order Date]],"mmm")</f>
        <v>Feb</v>
      </c>
      <c r="M670">
        <f>YEAR(tblSales[[#This Row],[Order Date]])</f>
        <v>2024</v>
      </c>
    </row>
    <row r="671" spans="1:13">
      <c r="A671" t="s">
        <v>1313</v>
      </c>
      <c r="B671" s="1">
        <v>45333</v>
      </c>
      <c r="C671" t="s">
        <v>14</v>
      </c>
      <c r="D671" t="s">
        <v>15</v>
      </c>
      <c r="E671" t="s">
        <v>16</v>
      </c>
      <c r="F671" t="s">
        <v>1314</v>
      </c>
      <c r="G671">
        <v>756.01</v>
      </c>
      <c r="H671">
        <v>4</v>
      </c>
      <c r="I671">
        <v>54.95</v>
      </c>
      <c r="J671" t="s">
        <v>18</v>
      </c>
      <c r="K671" s="6">
        <f>tblSales[[#This Row],[Profit]]/tblSales[[#This Row],[Sales]]</f>
        <v>7.2684223753654062E-2</v>
      </c>
      <c r="L671" t="str">
        <f>TEXT(tblSales[[#This Row],[Order Date]],"mmm")</f>
        <v>Feb</v>
      </c>
      <c r="M671">
        <f>YEAR(tblSales[[#This Row],[Order Date]])</f>
        <v>2024</v>
      </c>
    </row>
    <row r="672" spans="1:13">
      <c r="A672" t="s">
        <v>1315</v>
      </c>
      <c r="B672" s="1">
        <v>45334</v>
      </c>
      <c r="C672" t="s">
        <v>33</v>
      </c>
      <c r="D672" t="s">
        <v>26</v>
      </c>
      <c r="E672" t="s">
        <v>49</v>
      </c>
      <c r="F672" t="s">
        <v>1316</v>
      </c>
      <c r="G672">
        <v>134.25</v>
      </c>
      <c r="H672">
        <v>7</v>
      </c>
      <c r="I672">
        <v>26.08</v>
      </c>
      <c r="J672" t="s">
        <v>18</v>
      </c>
      <c r="K672" s="6">
        <f>tblSales[[#This Row],[Profit]]/tblSales[[#This Row],[Sales]]</f>
        <v>0.19426443202979515</v>
      </c>
      <c r="L672" t="str">
        <f>TEXT(tblSales[[#This Row],[Order Date]],"mmm")</f>
        <v>Feb</v>
      </c>
      <c r="M672">
        <f>YEAR(tblSales[[#This Row],[Order Date]])</f>
        <v>2024</v>
      </c>
    </row>
    <row r="673" spans="1:13">
      <c r="A673" t="s">
        <v>1317</v>
      </c>
      <c r="B673" s="1">
        <v>45335</v>
      </c>
      <c r="C673" t="s">
        <v>20</v>
      </c>
      <c r="D673" t="s">
        <v>73</v>
      </c>
      <c r="E673" t="s">
        <v>164</v>
      </c>
      <c r="F673" t="s">
        <v>1021</v>
      </c>
      <c r="G673">
        <v>1579.35</v>
      </c>
      <c r="H673">
        <v>4</v>
      </c>
      <c r="I673">
        <v>231.5</v>
      </c>
      <c r="J673" t="s">
        <v>24</v>
      </c>
      <c r="K673" s="6">
        <f>tblSales[[#This Row],[Profit]]/tblSales[[#This Row],[Sales]]</f>
        <v>0.14657928894798494</v>
      </c>
      <c r="L673" t="str">
        <f>TEXT(tblSales[[#This Row],[Order Date]],"mmm")</f>
        <v>Feb</v>
      </c>
      <c r="M673">
        <f>YEAR(tblSales[[#This Row],[Order Date]])</f>
        <v>2024</v>
      </c>
    </row>
    <row r="674" spans="1:13">
      <c r="A674" t="s">
        <v>1318</v>
      </c>
      <c r="B674" s="1">
        <v>45336</v>
      </c>
      <c r="C674" t="s">
        <v>14</v>
      </c>
      <c r="D674" t="s">
        <v>73</v>
      </c>
      <c r="E674" t="s">
        <v>164</v>
      </c>
      <c r="F674" t="s">
        <v>1319</v>
      </c>
      <c r="G674">
        <v>842.9</v>
      </c>
      <c r="H674">
        <v>1</v>
      </c>
      <c r="I674">
        <v>92.8</v>
      </c>
      <c r="J674" t="s">
        <v>29</v>
      </c>
      <c r="K674" s="6">
        <f>tblSales[[#This Row],[Profit]]/tblSales[[#This Row],[Sales]]</f>
        <v>0.11009609680863684</v>
      </c>
      <c r="L674" t="str">
        <f>TEXT(tblSales[[#This Row],[Order Date]],"mmm")</f>
        <v>Feb</v>
      </c>
      <c r="M674">
        <f>YEAR(tblSales[[#This Row],[Order Date]])</f>
        <v>2024</v>
      </c>
    </row>
    <row r="675" spans="1:13">
      <c r="A675" t="s">
        <v>1320</v>
      </c>
      <c r="B675" s="1">
        <v>45337</v>
      </c>
      <c r="C675" t="s">
        <v>20</v>
      </c>
      <c r="D675" t="s">
        <v>73</v>
      </c>
      <c r="E675" t="s">
        <v>74</v>
      </c>
      <c r="F675" t="s">
        <v>1321</v>
      </c>
      <c r="G675">
        <v>1838.11</v>
      </c>
      <c r="H675">
        <v>4</v>
      </c>
      <c r="I675">
        <v>104.55</v>
      </c>
      <c r="J675" t="s">
        <v>18</v>
      </c>
      <c r="K675" s="6">
        <f>tblSales[[#This Row],[Profit]]/tblSales[[#This Row],[Sales]]</f>
        <v>5.6879076877879998E-2</v>
      </c>
      <c r="L675" t="str">
        <f>TEXT(tblSales[[#This Row],[Order Date]],"mmm")</f>
        <v>Feb</v>
      </c>
      <c r="M675">
        <f>YEAR(tblSales[[#This Row],[Order Date]])</f>
        <v>2024</v>
      </c>
    </row>
    <row r="676" spans="1:13">
      <c r="A676" t="s">
        <v>1322</v>
      </c>
      <c r="B676" s="1">
        <v>45338</v>
      </c>
      <c r="C676" t="s">
        <v>33</v>
      </c>
      <c r="D676" t="s">
        <v>15</v>
      </c>
      <c r="E676" t="s">
        <v>52</v>
      </c>
      <c r="F676" t="s">
        <v>991</v>
      </c>
      <c r="G676">
        <v>97.08</v>
      </c>
      <c r="H676">
        <v>1</v>
      </c>
      <c r="I676">
        <v>9.11</v>
      </c>
      <c r="J676" t="s">
        <v>18</v>
      </c>
      <c r="K676" s="6">
        <f>tblSales[[#This Row],[Profit]]/tblSales[[#This Row],[Sales]]</f>
        <v>9.3840131850020603E-2</v>
      </c>
      <c r="L676" t="str">
        <f>TEXT(tblSales[[#This Row],[Order Date]],"mmm")</f>
        <v>Feb</v>
      </c>
      <c r="M676">
        <f>YEAR(tblSales[[#This Row],[Order Date]])</f>
        <v>2024</v>
      </c>
    </row>
    <row r="677" spans="1:13">
      <c r="A677" t="s">
        <v>1323</v>
      </c>
      <c r="B677" s="1">
        <v>45339</v>
      </c>
      <c r="C677" t="s">
        <v>20</v>
      </c>
      <c r="D677" t="s">
        <v>21</v>
      </c>
      <c r="E677" t="s">
        <v>89</v>
      </c>
      <c r="F677" t="s">
        <v>1324</v>
      </c>
      <c r="G677">
        <v>1901.91</v>
      </c>
      <c r="H677">
        <v>5</v>
      </c>
      <c r="I677">
        <v>437.04</v>
      </c>
      <c r="J677" t="s">
        <v>24</v>
      </c>
      <c r="K677" s="6">
        <f>tblSales[[#This Row],[Profit]]/tblSales[[#This Row],[Sales]]</f>
        <v>0.22979005315708945</v>
      </c>
      <c r="L677" t="str">
        <f>TEXT(tblSales[[#This Row],[Order Date]],"mmm")</f>
        <v>Feb</v>
      </c>
      <c r="M677">
        <f>YEAR(tblSales[[#This Row],[Order Date]])</f>
        <v>2024</v>
      </c>
    </row>
    <row r="678" spans="1:13">
      <c r="A678" t="s">
        <v>1325</v>
      </c>
      <c r="B678" s="1">
        <v>45340</v>
      </c>
      <c r="C678" t="s">
        <v>33</v>
      </c>
      <c r="D678" t="s">
        <v>40</v>
      </c>
      <c r="E678" t="s">
        <v>92</v>
      </c>
      <c r="F678" t="s">
        <v>1326</v>
      </c>
      <c r="G678">
        <v>666.15</v>
      </c>
      <c r="H678">
        <v>3</v>
      </c>
      <c r="I678">
        <v>80.349999999999994</v>
      </c>
      <c r="J678" t="s">
        <v>24</v>
      </c>
      <c r="K678" s="6">
        <f>tblSales[[#This Row],[Profit]]/tblSales[[#This Row],[Sales]]</f>
        <v>0.12061847932147414</v>
      </c>
      <c r="L678" t="str">
        <f>TEXT(tblSales[[#This Row],[Order Date]],"mmm")</f>
        <v>Feb</v>
      </c>
      <c r="M678">
        <f>YEAR(tblSales[[#This Row],[Order Date]])</f>
        <v>2024</v>
      </c>
    </row>
    <row r="679" spans="1:13">
      <c r="A679" t="s">
        <v>1327</v>
      </c>
      <c r="B679" s="1">
        <v>45341</v>
      </c>
      <c r="C679" t="s">
        <v>33</v>
      </c>
      <c r="D679" t="s">
        <v>73</v>
      </c>
      <c r="E679" t="s">
        <v>74</v>
      </c>
      <c r="F679" t="s">
        <v>1328</v>
      </c>
      <c r="G679">
        <v>1790.31</v>
      </c>
      <c r="H679">
        <v>7</v>
      </c>
      <c r="I679">
        <v>468.1</v>
      </c>
      <c r="J679" t="s">
        <v>29</v>
      </c>
      <c r="K679" s="6">
        <f>tblSales[[#This Row],[Profit]]/tblSales[[#This Row],[Sales]]</f>
        <v>0.26146309856952149</v>
      </c>
      <c r="L679" t="str">
        <f>TEXT(tblSales[[#This Row],[Order Date]],"mmm")</f>
        <v>Feb</v>
      </c>
      <c r="M679">
        <f>YEAR(tblSales[[#This Row],[Order Date]])</f>
        <v>2024</v>
      </c>
    </row>
    <row r="680" spans="1:13">
      <c r="A680" t="s">
        <v>1329</v>
      </c>
      <c r="B680" s="1">
        <v>45342</v>
      </c>
      <c r="C680" t="s">
        <v>39</v>
      </c>
      <c r="D680" t="s">
        <v>21</v>
      </c>
      <c r="E680" t="s">
        <v>22</v>
      </c>
      <c r="F680" t="s">
        <v>1330</v>
      </c>
      <c r="G680">
        <v>1530.95</v>
      </c>
      <c r="H680">
        <v>7</v>
      </c>
      <c r="I680">
        <v>258.86</v>
      </c>
      <c r="J680" t="s">
        <v>24</v>
      </c>
      <c r="K680" s="6">
        <f>tblSales[[#This Row],[Profit]]/tblSales[[#This Row],[Sales]]</f>
        <v>0.16908455534145467</v>
      </c>
      <c r="L680" t="str">
        <f>TEXT(tblSales[[#This Row],[Order Date]],"mmm")</f>
        <v>Feb</v>
      </c>
      <c r="M680">
        <f>YEAR(tblSales[[#This Row],[Order Date]])</f>
        <v>2024</v>
      </c>
    </row>
    <row r="681" spans="1:13">
      <c r="A681" t="s">
        <v>1331</v>
      </c>
      <c r="B681" s="1">
        <v>45343</v>
      </c>
      <c r="C681" t="s">
        <v>14</v>
      </c>
      <c r="D681" t="s">
        <v>40</v>
      </c>
      <c r="E681" t="s">
        <v>92</v>
      </c>
      <c r="F681" t="s">
        <v>508</v>
      </c>
      <c r="G681">
        <v>424.83</v>
      </c>
      <c r="H681">
        <v>8</v>
      </c>
      <c r="I681">
        <v>41.01</v>
      </c>
      <c r="J681" t="s">
        <v>24</v>
      </c>
      <c r="K681" s="6">
        <f>tblSales[[#This Row],[Profit]]/tblSales[[#This Row],[Sales]]</f>
        <v>9.6532730739354561E-2</v>
      </c>
      <c r="L681" t="str">
        <f>TEXT(tblSales[[#This Row],[Order Date]],"mmm")</f>
        <v>Feb</v>
      </c>
      <c r="M681">
        <f>YEAR(tblSales[[#This Row],[Order Date]])</f>
        <v>2024</v>
      </c>
    </row>
    <row r="682" spans="1:13">
      <c r="A682" t="s">
        <v>1332</v>
      </c>
      <c r="B682" s="1">
        <v>45344</v>
      </c>
      <c r="C682" t="s">
        <v>33</v>
      </c>
      <c r="D682" t="s">
        <v>15</v>
      </c>
      <c r="E682" t="s">
        <v>60</v>
      </c>
      <c r="F682" t="s">
        <v>1333</v>
      </c>
      <c r="G682">
        <v>1712.96</v>
      </c>
      <c r="H682">
        <v>9</v>
      </c>
      <c r="I682">
        <v>241.68</v>
      </c>
      <c r="J682" t="s">
        <v>24</v>
      </c>
      <c r="K682" s="6">
        <f>tblSales[[#This Row],[Profit]]/tblSales[[#This Row],[Sales]]</f>
        <v>0.1410891089108911</v>
      </c>
      <c r="L682" t="str">
        <f>TEXT(tblSales[[#This Row],[Order Date]],"mmm")</f>
        <v>Feb</v>
      </c>
      <c r="M682">
        <f>YEAR(tblSales[[#This Row],[Order Date]])</f>
        <v>2024</v>
      </c>
    </row>
    <row r="683" spans="1:13">
      <c r="A683" t="s">
        <v>1334</v>
      </c>
      <c r="B683" s="1">
        <v>45345</v>
      </c>
      <c r="C683" t="s">
        <v>20</v>
      </c>
      <c r="D683" t="s">
        <v>21</v>
      </c>
      <c r="E683" t="s">
        <v>22</v>
      </c>
      <c r="F683" t="s">
        <v>1335</v>
      </c>
      <c r="G683">
        <v>930.8</v>
      </c>
      <c r="H683">
        <v>8</v>
      </c>
      <c r="I683">
        <v>238.92</v>
      </c>
      <c r="J683" t="s">
        <v>24</v>
      </c>
      <c r="K683" s="6">
        <f>tblSales[[#This Row],[Profit]]/tblSales[[#This Row],[Sales]]</f>
        <v>0.25668242372152988</v>
      </c>
      <c r="L683" t="str">
        <f>TEXT(tblSales[[#This Row],[Order Date]],"mmm")</f>
        <v>Feb</v>
      </c>
      <c r="M683">
        <f>YEAR(tblSales[[#This Row],[Order Date]])</f>
        <v>2024</v>
      </c>
    </row>
    <row r="684" spans="1:13">
      <c r="A684" t="s">
        <v>1336</v>
      </c>
      <c r="B684" s="1">
        <v>45346</v>
      </c>
      <c r="C684" t="s">
        <v>14</v>
      </c>
      <c r="D684" t="s">
        <v>21</v>
      </c>
      <c r="E684" t="s">
        <v>22</v>
      </c>
      <c r="F684" t="s">
        <v>739</v>
      </c>
      <c r="G684">
        <v>1393.36</v>
      </c>
      <c r="H684">
        <v>8</v>
      </c>
      <c r="I684">
        <v>192.49</v>
      </c>
      <c r="J684" t="s">
        <v>18</v>
      </c>
      <c r="K684" s="6">
        <f>tblSales[[#This Row],[Profit]]/tblSales[[#This Row],[Sales]]</f>
        <v>0.13814807372107712</v>
      </c>
      <c r="L684" t="str">
        <f>TEXT(tblSales[[#This Row],[Order Date]],"mmm")</f>
        <v>Feb</v>
      </c>
      <c r="M684">
        <f>YEAR(tblSales[[#This Row],[Order Date]])</f>
        <v>2024</v>
      </c>
    </row>
    <row r="685" spans="1:13">
      <c r="A685" t="s">
        <v>1337</v>
      </c>
      <c r="B685" s="1">
        <v>45347</v>
      </c>
      <c r="C685" t="s">
        <v>39</v>
      </c>
      <c r="D685" t="s">
        <v>26</v>
      </c>
      <c r="E685" t="s">
        <v>27</v>
      </c>
      <c r="F685" t="s">
        <v>158</v>
      </c>
      <c r="G685">
        <v>1041.01</v>
      </c>
      <c r="H685">
        <v>1</v>
      </c>
      <c r="I685">
        <v>192.35</v>
      </c>
      <c r="J685" t="s">
        <v>18</v>
      </c>
      <c r="K685" s="6">
        <f>tblSales[[#This Row],[Profit]]/tblSales[[#This Row],[Sales]]</f>
        <v>0.18477248057175244</v>
      </c>
      <c r="L685" t="str">
        <f>TEXT(tblSales[[#This Row],[Order Date]],"mmm")</f>
        <v>Feb</v>
      </c>
      <c r="M685">
        <f>YEAR(tblSales[[#This Row],[Order Date]])</f>
        <v>2024</v>
      </c>
    </row>
    <row r="686" spans="1:13">
      <c r="A686" t="s">
        <v>1338</v>
      </c>
      <c r="B686" s="1">
        <v>45348</v>
      </c>
      <c r="C686" t="s">
        <v>20</v>
      </c>
      <c r="D686" t="s">
        <v>40</v>
      </c>
      <c r="E686" t="s">
        <v>92</v>
      </c>
      <c r="F686" t="s">
        <v>508</v>
      </c>
      <c r="G686">
        <v>861.95</v>
      </c>
      <c r="H686">
        <v>5</v>
      </c>
      <c r="I686">
        <v>127.53</v>
      </c>
      <c r="J686" t="s">
        <v>18</v>
      </c>
      <c r="K686" s="6">
        <f>tblSales[[#This Row],[Profit]]/tblSales[[#This Row],[Sales]]</f>
        <v>0.14795521782005916</v>
      </c>
      <c r="L686" t="str">
        <f>TEXT(tblSales[[#This Row],[Order Date]],"mmm")</f>
        <v>Feb</v>
      </c>
      <c r="M686">
        <f>YEAR(tblSales[[#This Row],[Order Date]])</f>
        <v>2024</v>
      </c>
    </row>
    <row r="687" spans="1:13">
      <c r="A687" t="s">
        <v>1339</v>
      </c>
      <c r="B687" s="1">
        <v>45349</v>
      </c>
      <c r="C687" t="s">
        <v>33</v>
      </c>
      <c r="D687" t="s">
        <v>73</v>
      </c>
      <c r="E687" t="s">
        <v>84</v>
      </c>
      <c r="F687" t="s">
        <v>670</v>
      </c>
      <c r="G687">
        <v>1073.4000000000001</v>
      </c>
      <c r="H687">
        <v>9</v>
      </c>
      <c r="I687">
        <v>70.13</v>
      </c>
      <c r="J687" t="s">
        <v>29</v>
      </c>
      <c r="K687" s="6">
        <f>tblSales[[#This Row],[Profit]]/tblSales[[#This Row],[Sales]]</f>
        <v>6.5334451276318234E-2</v>
      </c>
      <c r="L687" t="str">
        <f>TEXT(tblSales[[#This Row],[Order Date]],"mmm")</f>
        <v>Feb</v>
      </c>
      <c r="M687">
        <f>YEAR(tblSales[[#This Row],[Order Date]])</f>
        <v>2024</v>
      </c>
    </row>
    <row r="688" spans="1:13">
      <c r="A688" t="s">
        <v>1340</v>
      </c>
      <c r="B688" s="1">
        <v>45350</v>
      </c>
      <c r="C688" t="s">
        <v>33</v>
      </c>
      <c r="D688" t="s">
        <v>26</v>
      </c>
      <c r="E688" t="s">
        <v>34</v>
      </c>
      <c r="F688" t="s">
        <v>1341</v>
      </c>
      <c r="G688">
        <v>1451.79</v>
      </c>
      <c r="H688">
        <v>8</v>
      </c>
      <c r="I688">
        <v>154.66</v>
      </c>
      <c r="J688" t="s">
        <v>29</v>
      </c>
      <c r="K688" s="6">
        <f>tblSales[[#This Row],[Profit]]/tblSales[[#This Row],[Sales]]</f>
        <v>0.10653055882737862</v>
      </c>
      <c r="L688" t="str">
        <f>TEXT(tblSales[[#This Row],[Order Date]],"mmm")</f>
        <v>Feb</v>
      </c>
      <c r="M688">
        <f>YEAR(tblSales[[#This Row],[Order Date]])</f>
        <v>2024</v>
      </c>
    </row>
    <row r="689" spans="1:13">
      <c r="A689" t="s">
        <v>1342</v>
      </c>
      <c r="B689" s="1">
        <v>45351</v>
      </c>
      <c r="C689" t="s">
        <v>14</v>
      </c>
      <c r="D689" t="s">
        <v>21</v>
      </c>
      <c r="E689" t="s">
        <v>89</v>
      </c>
      <c r="F689" t="s">
        <v>1343</v>
      </c>
      <c r="G689">
        <v>886.21</v>
      </c>
      <c r="H689">
        <v>3</v>
      </c>
      <c r="I689">
        <v>55.81</v>
      </c>
      <c r="J689" t="s">
        <v>24</v>
      </c>
      <c r="K689" s="6">
        <f>tblSales[[#This Row],[Profit]]/tblSales[[#This Row],[Sales]]</f>
        <v>6.2976044052764024E-2</v>
      </c>
      <c r="L689" t="str">
        <f>TEXT(tblSales[[#This Row],[Order Date]],"mmm")</f>
        <v>Feb</v>
      </c>
      <c r="M689">
        <f>YEAR(tblSales[[#This Row],[Order Date]])</f>
        <v>2024</v>
      </c>
    </row>
    <row r="690" spans="1:13">
      <c r="A690" t="s">
        <v>1344</v>
      </c>
      <c r="B690" s="1">
        <v>45352</v>
      </c>
      <c r="C690" t="s">
        <v>14</v>
      </c>
      <c r="D690" t="s">
        <v>21</v>
      </c>
      <c r="E690" t="s">
        <v>57</v>
      </c>
      <c r="F690" t="s">
        <v>261</v>
      </c>
      <c r="G690">
        <v>1488.95</v>
      </c>
      <c r="H690">
        <v>5</v>
      </c>
      <c r="I690">
        <v>357</v>
      </c>
      <c r="J690" t="s">
        <v>29</v>
      </c>
      <c r="K690" s="6">
        <f>tblSales[[#This Row],[Profit]]/tblSales[[#This Row],[Sales]]</f>
        <v>0.23976627824977331</v>
      </c>
      <c r="L690" t="str">
        <f>TEXT(tblSales[[#This Row],[Order Date]],"mmm")</f>
        <v>Mar</v>
      </c>
      <c r="M690">
        <f>YEAR(tblSales[[#This Row],[Order Date]])</f>
        <v>2024</v>
      </c>
    </row>
    <row r="691" spans="1:13">
      <c r="A691" t="s">
        <v>1345</v>
      </c>
      <c r="B691" s="1">
        <v>45353</v>
      </c>
      <c r="C691" t="s">
        <v>14</v>
      </c>
      <c r="D691" t="s">
        <v>21</v>
      </c>
      <c r="E691" t="s">
        <v>89</v>
      </c>
      <c r="F691" t="s">
        <v>780</v>
      </c>
      <c r="G691">
        <v>664.08</v>
      </c>
      <c r="H691">
        <v>9</v>
      </c>
      <c r="I691">
        <v>75.180000000000007</v>
      </c>
      <c r="J691" t="s">
        <v>24</v>
      </c>
      <c r="K691" s="6">
        <f>tblSales[[#This Row],[Profit]]/tblSales[[#This Row],[Sales]]</f>
        <v>0.11320925189736177</v>
      </c>
      <c r="L691" t="str">
        <f>TEXT(tblSales[[#This Row],[Order Date]],"mmm")</f>
        <v>Mar</v>
      </c>
      <c r="M691">
        <f>YEAR(tblSales[[#This Row],[Order Date]])</f>
        <v>2024</v>
      </c>
    </row>
    <row r="692" spans="1:13">
      <c r="A692" t="s">
        <v>1346</v>
      </c>
      <c r="B692" s="1">
        <v>45354</v>
      </c>
      <c r="C692" t="s">
        <v>33</v>
      </c>
      <c r="D692" t="s">
        <v>73</v>
      </c>
      <c r="E692" t="s">
        <v>84</v>
      </c>
      <c r="F692" t="s">
        <v>599</v>
      </c>
      <c r="G692">
        <v>754.46</v>
      </c>
      <c r="H692">
        <v>6</v>
      </c>
      <c r="I692">
        <v>114.25</v>
      </c>
      <c r="J692" t="s">
        <v>24</v>
      </c>
      <c r="K692" s="6">
        <f>tblSales[[#This Row],[Profit]]/tblSales[[#This Row],[Sales]]</f>
        <v>0.15143281287278318</v>
      </c>
      <c r="L692" t="str">
        <f>TEXT(tblSales[[#This Row],[Order Date]],"mmm")</f>
        <v>Mar</v>
      </c>
      <c r="M692">
        <f>YEAR(tblSales[[#This Row],[Order Date]])</f>
        <v>2024</v>
      </c>
    </row>
    <row r="693" spans="1:13">
      <c r="A693" t="s">
        <v>1347</v>
      </c>
      <c r="B693" s="1">
        <v>45355</v>
      </c>
      <c r="C693" t="s">
        <v>39</v>
      </c>
      <c r="D693" t="s">
        <v>26</v>
      </c>
      <c r="E693" t="s">
        <v>49</v>
      </c>
      <c r="F693" t="s">
        <v>583</v>
      </c>
      <c r="G693">
        <v>798.53</v>
      </c>
      <c r="H693">
        <v>5</v>
      </c>
      <c r="I693">
        <v>69.790000000000006</v>
      </c>
      <c r="J693" t="s">
        <v>29</v>
      </c>
      <c r="K693" s="6">
        <f>tblSales[[#This Row],[Profit]]/tblSales[[#This Row],[Sales]]</f>
        <v>8.7398093997720819E-2</v>
      </c>
      <c r="L693" t="str">
        <f>TEXT(tblSales[[#This Row],[Order Date]],"mmm")</f>
        <v>Mar</v>
      </c>
      <c r="M693">
        <f>YEAR(tblSales[[#This Row],[Order Date]])</f>
        <v>2024</v>
      </c>
    </row>
    <row r="694" spans="1:13">
      <c r="A694" t="s">
        <v>1348</v>
      </c>
      <c r="B694" s="1">
        <v>45356</v>
      </c>
      <c r="C694" t="s">
        <v>20</v>
      </c>
      <c r="D694" t="s">
        <v>15</v>
      </c>
      <c r="E694" t="s">
        <v>79</v>
      </c>
      <c r="F694" t="s">
        <v>1349</v>
      </c>
      <c r="G694">
        <v>840.65</v>
      </c>
      <c r="H694">
        <v>2</v>
      </c>
      <c r="I694">
        <v>206.09</v>
      </c>
      <c r="J694" t="s">
        <v>24</v>
      </c>
      <c r="K694" s="6">
        <f>tblSales[[#This Row],[Profit]]/tblSales[[#This Row],[Sales]]</f>
        <v>0.24515553440789867</v>
      </c>
      <c r="L694" t="str">
        <f>TEXT(tblSales[[#This Row],[Order Date]],"mmm")</f>
        <v>Mar</v>
      </c>
      <c r="M694">
        <f>YEAR(tblSales[[#This Row],[Order Date]])</f>
        <v>2024</v>
      </c>
    </row>
    <row r="695" spans="1:13">
      <c r="A695" t="s">
        <v>1350</v>
      </c>
      <c r="B695" s="1">
        <v>45357</v>
      </c>
      <c r="C695" t="s">
        <v>33</v>
      </c>
      <c r="D695" t="s">
        <v>15</v>
      </c>
      <c r="E695" t="s">
        <v>16</v>
      </c>
      <c r="F695" t="s">
        <v>1351</v>
      </c>
      <c r="G695">
        <v>1264.3</v>
      </c>
      <c r="H695">
        <v>6</v>
      </c>
      <c r="I695">
        <v>147.08000000000001</v>
      </c>
      <c r="J695" t="s">
        <v>24</v>
      </c>
      <c r="K695" s="6">
        <f>tblSales[[#This Row],[Profit]]/tblSales[[#This Row],[Sales]]</f>
        <v>0.11633314877797993</v>
      </c>
      <c r="L695" t="str">
        <f>TEXT(tblSales[[#This Row],[Order Date]],"mmm")</f>
        <v>Mar</v>
      </c>
      <c r="M695">
        <f>YEAR(tblSales[[#This Row],[Order Date]])</f>
        <v>2024</v>
      </c>
    </row>
    <row r="696" spans="1:13">
      <c r="A696" t="s">
        <v>1352</v>
      </c>
      <c r="B696" s="1">
        <v>45358</v>
      </c>
      <c r="C696" t="s">
        <v>33</v>
      </c>
      <c r="D696" t="s">
        <v>15</v>
      </c>
      <c r="E696" t="s">
        <v>79</v>
      </c>
      <c r="F696" t="s">
        <v>103</v>
      </c>
      <c r="G696">
        <v>1271.68</v>
      </c>
      <c r="H696">
        <v>5</v>
      </c>
      <c r="I696">
        <v>241.65</v>
      </c>
      <c r="J696" t="s">
        <v>29</v>
      </c>
      <c r="K696" s="6">
        <f>tblSales[[#This Row],[Profit]]/tblSales[[#This Row],[Sales]]</f>
        <v>0.19002421992954202</v>
      </c>
      <c r="L696" t="str">
        <f>TEXT(tblSales[[#This Row],[Order Date]],"mmm")</f>
        <v>Mar</v>
      </c>
      <c r="M696">
        <f>YEAR(tblSales[[#This Row],[Order Date]])</f>
        <v>2024</v>
      </c>
    </row>
    <row r="697" spans="1:13">
      <c r="A697" t="s">
        <v>1353</v>
      </c>
      <c r="B697" s="1">
        <v>45359</v>
      </c>
      <c r="C697" t="s">
        <v>39</v>
      </c>
      <c r="D697" t="s">
        <v>40</v>
      </c>
      <c r="E697" t="s">
        <v>92</v>
      </c>
      <c r="F697" t="s">
        <v>1354</v>
      </c>
      <c r="G697">
        <v>751.18</v>
      </c>
      <c r="H697">
        <v>9</v>
      </c>
      <c r="I697">
        <v>121.84</v>
      </c>
      <c r="J697" t="s">
        <v>24</v>
      </c>
      <c r="K697" s="6">
        <f>tblSales[[#This Row],[Profit]]/tblSales[[#This Row],[Sales]]</f>
        <v>0.1621981415905642</v>
      </c>
      <c r="L697" t="str">
        <f>TEXT(tblSales[[#This Row],[Order Date]],"mmm")</f>
        <v>Mar</v>
      </c>
      <c r="M697">
        <f>YEAR(tblSales[[#This Row],[Order Date]])</f>
        <v>2024</v>
      </c>
    </row>
    <row r="698" spans="1:13">
      <c r="A698" t="s">
        <v>1355</v>
      </c>
      <c r="B698" s="1">
        <v>45360</v>
      </c>
      <c r="C698" t="s">
        <v>14</v>
      </c>
      <c r="D698" t="s">
        <v>15</v>
      </c>
      <c r="E698" t="s">
        <v>52</v>
      </c>
      <c r="F698" t="s">
        <v>1356</v>
      </c>
      <c r="G698">
        <v>376.79</v>
      </c>
      <c r="H698">
        <v>7</v>
      </c>
      <c r="I698">
        <v>62.33</v>
      </c>
      <c r="J698" t="s">
        <v>24</v>
      </c>
      <c r="K698" s="6">
        <f>tblSales[[#This Row],[Profit]]/tblSales[[#This Row],[Sales]]</f>
        <v>0.16542371082035084</v>
      </c>
      <c r="L698" t="str">
        <f>TEXT(tblSales[[#This Row],[Order Date]],"mmm")</f>
        <v>Mar</v>
      </c>
      <c r="M698">
        <f>YEAR(tblSales[[#This Row],[Order Date]])</f>
        <v>2024</v>
      </c>
    </row>
    <row r="699" spans="1:13">
      <c r="A699" t="s">
        <v>1357</v>
      </c>
      <c r="B699" s="1">
        <v>45361</v>
      </c>
      <c r="C699" t="s">
        <v>20</v>
      </c>
      <c r="D699" t="s">
        <v>21</v>
      </c>
      <c r="E699" t="s">
        <v>89</v>
      </c>
      <c r="F699" t="s">
        <v>1358</v>
      </c>
      <c r="G699">
        <v>267.75</v>
      </c>
      <c r="H699">
        <v>9</v>
      </c>
      <c r="I699">
        <v>31.73</v>
      </c>
      <c r="J699" t="s">
        <v>24</v>
      </c>
      <c r="K699" s="6">
        <f>tblSales[[#This Row],[Profit]]/tblSales[[#This Row],[Sales]]</f>
        <v>0.11850606909430439</v>
      </c>
      <c r="L699" t="str">
        <f>TEXT(tblSales[[#This Row],[Order Date]],"mmm")</f>
        <v>Mar</v>
      </c>
      <c r="M699">
        <f>YEAR(tblSales[[#This Row],[Order Date]])</f>
        <v>2024</v>
      </c>
    </row>
    <row r="700" spans="1:13">
      <c r="A700" t="s">
        <v>1359</v>
      </c>
      <c r="B700" s="1">
        <v>45362</v>
      </c>
      <c r="C700" t="s">
        <v>33</v>
      </c>
      <c r="D700" t="s">
        <v>15</v>
      </c>
      <c r="E700" t="s">
        <v>79</v>
      </c>
      <c r="F700" t="s">
        <v>1360</v>
      </c>
      <c r="G700">
        <v>703.78</v>
      </c>
      <c r="H700">
        <v>6</v>
      </c>
      <c r="I700">
        <v>152.22</v>
      </c>
      <c r="J700" t="s">
        <v>24</v>
      </c>
      <c r="K700" s="6">
        <f>tblSales[[#This Row],[Profit]]/tblSales[[#This Row],[Sales]]</f>
        <v>0.21628918127824037</v>
      </c>
      <c r="L700" t="str">
        <f>TEXT(tblSales[[#This Row],[Order Date]],"mmm")</f>
        <v>Mar</v>
      </c>
      <c r="M700">
        <f>YEAR(tblSales[[#This Row],[Order Date]])</f>
        <v>2024</v>
      </c>
    </row>
    <row r="701" spans="1:13">
      <c r="A701" t="s">
        <v>1361</v>
      </c>
      <c r="B701" s="1">
        <v>45363</v>
      </c>
      <c r="C701" t="s">
        <v>33</v>
      </c>
      <c r="D701" t="s">
        <v>73</v>
      </c>
      <c r="E701" t="s">
        <v>164</v>
      </c>
      <c r="F701" t="s">
        <v>899</v>
      </c>
      <c r="G701">
        <v>255.37</v>
      </c>
      <c r="H701">
        <v>1</v>
      </c>
      <c r="I701">
        <v>59.19</v>
      </c>
      <c r="J701" t="s">
        <v>29</v>
      </c>
      <c r="K701" s="6">
        <f>tblSales[[#This Row],[Profit]]/tblSales[[#This Row],[Sales]]</f>
        <v>0.23178133688373731</v>
      </c>
      <c r="L701" t="str">
        <f>TEXT(tblSales[[#This Row],[Order Date]],"mmm")</f>
        <v>Mar</v>
      </c>
      <c r="M701">
        <f>YEAR(tblSales[[#This Row],[Order Date]])</f>
        <v>2024</v>
      </c>
    </row>
    <row r="702" spans="1:13">
      <c r="A702" t="s">
        <v>1362</v>
      </c>
      <c r="B702" s="1">
        <v>45364</v>
      </c>
      <c r="C702" t="s">
        <v>39</v>
      </c>
      <c r="D702" t="s">
        <v>26</v>
      </c>
      <c r="E702" t="s">
        <v>27</v>
      </c>
      <c r="F702" t="s">
        <v>1363</v>
      </c>
      <c r="G702">
        <v>1895.24</v>
      </c>
      <c r="H702">
        <v>1</v>
      </c>
      <c r="I702">
        <v>242.58</v>
      </c>
      <c r="J702" t="s">
        <v>24</v>
      </c>
      <c r="K702" s="6">
        <f>tblSales[[#This Row],[Profit]]/tblSales[[#This Row],[Sales]]</f>
        <v>0.12799434372427768</v>
      </c>
      <c r="L702" t="str">
        <f>TEXT(tblSales[[#This Row],[Order Date]],"mmm")</f>
        <v>Mar</v>
      </c>
      <c r="M702">
        <f>YEAR(tblSales[[#This Row],[Order Date]])</f>
        <v>2024</v>
      </c>
    </row>
    <row r="703" spans="1:13">
      <c r="A703" t="s">
        <v>1364</v>
      </c>
      <c r="B703" s="1">
        <v>45365</v>
      </c>
      <c r="C703" t="s">
        <v>33</v>
      </c>
      <c r="D703" t="s">
        <v>15</v>
      </c>
      <c r="E703" t="s">
        <v>60</v>
      </c>
      <c r="F703" t="s">
        <v>1365</v>
      </c>
      <c r="G703">
        <v>1023.21</v>
      </c>
      <c r="H703">
        <v>4</v>
      </c>
      <c r="I703">
        <v>149.47999999999999</v>
      </c>
      <c r="J703" t="s">
        <v>29</v>
      </c>
      <c r="K703" s="6">
        <f>tblSales[[#This Row],[Profit]]/tblSales[[#This Row],[Sales]]</f>
        <v>0.14608926808768483</v>
      </c>
      <c r="L703" t="str">
        <f>TEXT(tblSales[[#This Row],[Order Date]],"mmm")</f>
        <v>Mar</v>
      </c>
      <c r="M703">
        <f>YEAR(tblSales[[#This Row],[Order Date]])</f>
        <v>2024</v>
      </c>
    </row>
    <row r="704" spans="1:13">
      <c r="A704" t="s">
        <v>1366</v>
      </c>
      <c r="B704" s="1">
        <v>45366</v>
      </c>
      <c r="C704" t="s">
        <v>14</v>
      </c>
      <c r="D704" t="s">
        <v>15</v>
      </c>
      <c r="E704" t="s">
        <v>52</v>
      </c>
      <c r="F704" t="s">
        <v>1367</v>
      </c>
      <c r="G704">
        <v>266.27999999999997</v>
      </c>
      <c r="H704">
        <v>1</v>
      </c>
      <c r="I704">
        <v>77.900000000000006</v>
      </c>
      <c r="J704" t="s">
        <v>24</v>
      </c>
      <c r="K704" s="6">
        <f>tblSales[[#This Row],[Profit]]/tblSales[[#This Row],[Sales]]</f>
        <v>0.29254919633468535</v>
      </c>
      <c r="L704" t="str">
        <f>TEXT(tblSales[[#This Row],[Order Date]],"mmm")</f>
        <v>Mar</v>
      </c>
      <c r="M704">
        <f>YEAR(tblSales[[#This Row],[Order Date]])</f>
        <v>2024</v>
      </c>
    </row>
    <row r="705" spans="1:13">
      <c r="A705" t="s">
        <v>1368</v>
      </c>
      <c r="B705" s="1">
        <v>45367</v>
      </c>
      <c r="C705" t="s">
        <v>39</v>
      </c>
      <c r="D705" t="s">
        <v>15</v>
      </c>
      <c r="E705" t="s">
        <v>79</v>
      </c>
      <c r="F705" t="s">
        <v>1369</v>
      </c>
      <c r="G705">
        <v>1126.78</v>
      </c>
      <c r="H705">
        <v>3</v>
      </c>
      <c r="I705">
        <v>255.27</v>
      </c>
      <c r="J705" t="s">
        <v>18</v>
      </c>
      <c r="K705" s="6">
        <f>tblSales[[#This Row],[Profit]]/tblSales[[#This Row],[Sales]]</f>
        <v>0.22654821704325601</v>
      </c>
      <c r="L705" t="str">
        <f>TEXT(tblSales[[#This Row],[Order Date]],"mmm")</f>
        <v>Mar</v>
      </c>
      <c r="M705">
        <f>YEAR(tblSales[[#This Row],[Order Date]])</f>
        <v>2024</v>
      </c>
    </row>
    <row r="706" spans="1:13">
      <c r="A706" t="s">
        <v>1370</v>
      </c>
      <c r="B706" s="1">
        <v>45368</v>
      </c>
      <c r="C706" t="s">
        <v>14</v>
      </c>
      <c r="D706" t="s">
        <v>26</v>
      </c>
      <c r="E706" t="s">
        <v>34</v>
      </c>
      <c r="F706" t="s">
        <v>1371</v>
      </c>
      <c r="G706">
        <v>870.6</v>
      </c>
      <c r="H706">
        <v>5</v>
      </c>
      <c r="I706">
        <v>199.9</v>
      </c>
      <c r="J706" t="s">
        <v>18</v>
      </c>
      <c r="K706" s="6">
        <f>tblSales[[#This Row],[Profit]]/tblSales[[#This Row],[Sales]]</f>
        <v>0.22961176200321617</v>
      </c>
      <c r="L706" t="str">
        <f>TEXT(tblSales[[#This Row],[Order Date]],"mmm")</f>
        <v>Mar</v>
      </c>
      <c r="M706">
        <f>YEAR(tblSales[[#This Row],[Order Date]])</f>
        <v>2024</v>
      </c>
    </row>
    <row r="707" spans="1:13">
      <c r="A707" t="s">
        <v>1372</v>
      </c>
      <c r="B707" s="1">
        <v>45369</v>
      </c>
      <c r="C707" t="s">
        <v>20</v>
      </c>
      <c r="D707" t="s">
        <v>15</v>
      </c>
      <c r="E707" t="s">
        <v>52</v>
      </c>
      <c r="F707" t="s">
        <v>1236</v>
      </c>
      <c r="G707">
        <v>1923.8</v>
      </c>
      <c r="H707">
        <v>3</v>
      </c>
      <c r="I707">
        <v>554.28</v>
      </c>
      <c r="J707" t="s">
        <v>24</v>
      </c>
      <c r="K707" s="6">
        <f>tblSales[[#This Row],[Profit]]/tblSales[[#This Row],[Sales]]</f>
        <v>0.28811726790726688</v>
      </c>
      <c r="L707" t="str">
        <f>TEXT(tblSales[[#This Row],[Order Date]],"mmm")</f>
        <v>Mar</v>
      </c>
      <c r="M707">
        <f>YEAR(tblSales[[#This Row],[Order Date]])</f>
        <v>2024</v>
      </c>
    </row>
    <row r="708" spans="1:13">
      <c r="A708" t="s">
        <v>1373</v>
      </c>
      <c r="B708" s="1">
        <v>45370</v>
      </c>
      <c r="C708" t="s">
        <v>20</v>
      </c>
      <c r="D708" t="s">
        <v>15</v>
      </c>
      <c r="E708" t="s">
        <v>79</v>
      </c>
      <c r="F708" t="s">
        <v>1374</v>
      </c>
      <c r="G708">
        <v>1761.1</v>
      </c>
      <c r="H708">
        <v>9</v>
      </c>
      <c r="I708">
        <v>157.30000000000001</v>
      </c>
      <c r="J708" t="s">
        <v>18</v>
      </c>
      <c r="K708" s="6">
        <f>tblSales[[#This Row],[Profit]]/tblSales[[#This Row],[Sales]]</f>
        <v>8.931917551530294E-2</v>
      </c>
      <c r="L708" t="str">
        <f>TEXT(tblSales[[#This Row],[Order Date]],"mmm")</f>
        <v>Mar</v>
      </c>
      <c r="M708">
        <f>YEAR(tblSales[[#This Row],[Order Date]])</f>
        <v>2024</v>
      </c>
    </row>
    <row r="709" spans="1:13">
      <c r="A709" t="s">
        <v>1375</v>
      </c>
      <c r="B709" s="1">
        <v>45371</v>
      </c>
      <c r="C709" t="s">
        <v>33</v>
      </c>
      <c r="D709" t="s">
        <v>21</v>
      </c>
      <c r="E709" t="s">
        <v>22</v>
      </c>
      <c r="F709" t="s">
        <v>1376</v>
      </c>
      <c r="G709">
        <v>594.29</v>
      </c>
      <c r="H709">
        <v>8</v>
      </c>
      <c r="I709">
        <v>151.01</v>
      </c>
      <c r="J709" t="s">
        <v>18</v>
      </c>
      <c r="K709" s="6">
        <f>tblSales[[#This Row],[Profit]]/tblSales[[#This Row],[Sales]]</f>
        <v>0.25410153292163756</v>
      </c>
      <c r="L709" t="str">
        <f>TEXT(tblSales[[#This Row],[Order Date]],"mmm")</f>
        <v>Mar</v>
      </c>
      <c r="M709">
        <f>YEAR(tblSales[[#This Row],[Order Date]])</f>
        <v>2024</v>
      </c>
    </row>
    <row r="710" spans="1:13">
      <c r="A710" t="s">
        <v>1377</v>
      </c>
      <c r="B710" s="1">
        <v>45372</v>
      </c>
      <c r="C710" t="s">
        <v>20</v>
      </c>
      <c r="D710" t="s">
        <v>15</v>
      </c>
      <c r="E710" t="s">
        <v>16</v>
      </c>
      <c r="F710" t="s">
        <v>445</v>
      </c>
      <c r="G710">
        <v>515.92999999999995</v>
      </c>
      <c r="H710">
        <v>8</v>
      </c>
      <c r="I710">
        <v>146.43</v>
      </c>
      <c r="J710" t="s">
        <v>24</v>
      </c>
      <c r="K710" s="6">
        <f>tblSales[[#This Row],[Profit]]/tblSales[[#This Row],[Sales]]</f>
        <v>0.28381757215126086</v>
      </c>
      <c r="L710" t="str">
        <f>TEXT(tblSales[[#This Row],[Order Date]],"mmm")</f>
        <v>Mar</v>
      </c>
      <c r="M710">
        <f>YEAR(tblSales[[#This Row],[Order Date]])</f>
        <v>2024</v>
      </c>
    </row>
    <row r="711" spans="1:13">
      <c r="A711" t="s">
        <v>1378</v>
      </c>
      <c r="B711" s="1">
        <v>45373</v>
      </c>
      <c r="C711" t="s">
        <v>20</v>
      </c>
      <c r="D711" t="s">
        <v>40</v>
      </c>
      <c r="E711" t="s">
        <v>92</v>
      </c>
      <c r="F711" t="s">
        <v>207</v>
      </c>
      <c r="G711">
        <v>1964.17</v>
      </c>
      <c r="H711">
        <v>3</v>
      </c>
      <c r="I711">
        <v>104.18</v>
      </c>
      <c r="J711" t="s">
        <v>18</v>
      </c>
      <c r="K711" s="6">
        <f>tblSales[[#This Row],[Profit]]/tblSales[[#This Row],[Sales]]</f>
        <v>5.3040215459965283E-2</v>
      </c>
      <c r="L711" t="str">
        <f>TEXT(tblSales[[#This Row],[Order Date]],"mmm")</f>
        <v>Mar</v>
      </c>
      <c r="M711">
        <f>YEAR(tblSales[[#This Row],[Order Date]])</f>
        <v>2024</v>
      </c>
    </row>
    <row r="712" spans="1:13">
      <c r="A712" t="s">
        <v>1379</v>
      </c>
      <c r="B712" s="1">
        <v>45374</v>
      </c>
      <c r="C712" t="s">
        <v>39</v>
      </c>
      <c r="D712" t="s">
        <v>40</v>
      </c>
      <c r="E712" t="s">
        <v>41</v>
      </c>
      <c r="F712" t="s">
        <v>1380</v>
      </c>
      <c r="G712">
        <v>122.63</v>
      </c>
      <c r="H712">
        <v>1</v>
      </c>
      <c r="I712">
        <v>6.74</v>
      </c>
      <c r="J712" t="s">
        <v>24</v>
      </c>
      <c r="K712" s="6">
        <f>tblSales[[#This Row],[Profit]]/tblSales[[#This Row],[Sales]]</f>
        <v>5.4962081056837649E-2</v>
      </c>
      <c r="L712" t="str">
        <f>TEXT(tblSales[[#This Row],[Order Date]],"mmm")</f>
        <v>Mar</v>
      </c>
      <c r="M712">
        <f>YEAR(tblSales[[#This Row],[Order Date]])</f>
        <v>2024</v>
      </c>
    </row>
    <row r="713" spans="1:13">
      <c r="A713" t="s">
        <v>1381</v>
      </c>
      <c r="B713" s="1">
        <v>45375</v>
      </c>
      <c r="C713" t="s">
        <v>33</v>
      </c>
      <c r="D713" t="s">
        <v>73</v>
      </c>
      <c r="E713" t="s">
        <v>164</v>
      </c>
      <c r="F713" t="s">
        <v>929</v>
      </c>
      <c r="G713">
        <v>399.03</v>
      </c>
      <c r="H713">
        <v>1</v>
      </c>
      <c r="I713">
        <v>113.22</v>
      </c>
      <c r="J713" t="s">
        <v>18</v>
      </c>
      <c r="K713" s="6">
        <f>tblSales[[#This Row],[Profit]]/tblSales[[#This Row],[Sales]]</f>
        <v>0.28373806480715735</v>
      </c>
      <c r="L713" t="str">
        <f>TEXT(tblSales[[#This Row],[Order Date]],"mmm")</f>
        <v>Mar</v>
      </c>
      <c r="M713">
        <f>YEAR(tblSales[[#This Row],[Order Date]])</f>
        <v>2024</v>
      </c>
    </row>
    <row r="714" spans="1:13">
      <c r="A714" t="s">
        <v>1382</v>
      </c>
      <c r="B714" s="1">
        <v>45376</v>
      </c>
      <c r="C714" t="s">
        <v>20</v>
      </c>
      <c r="D714" t="s">
        <v>15</v>
      </c>
      <c r="E714" t="s">
        <v>52</v>
      </c>
      <c r="F714" t="s">
        <v>1383</v>
      </c>
      <c r="G714">
        <v>1758.41</v>
      </c>
      <c r="H714">
        <v>5</v>
      </c>
      <c r="I714">
        <v>117.97</v>
      </c>
      <c r="J714" t="s">
        <v>29</v>
      </c>
      <c r="K714" s="6">
        <f>tblSales[[#This Row],[Profit]]/tblSales[[#This Row],[Sales]]</f>
        <v>6.7089017919597815E-2</v>
      </c>
      <c r="L714" t="str">
        <f>TEXT(tblSales[[#This Row],[Order Date]],"mmm")</f>
        <v>Mar</v>
      </c>
      <c r="M714">
        <f>YEAR(tblSales[[#This Row],[Order Date]])</f>
        <v>2024</v>
      </c>
    </row>
    <row r="715" spans="1:13">
      <c r="A715" t="s">
        <v>1384</v>
      </c>
      <c r="B715" s="1">
        <v>45377</v>
      </c>
      <c r="C715" t="s">
        <v>33</v>
      </c>
      <c r="D715" t="s">
        <v>21</v>
      </c>
      <c r="E715" t="s">
        <v>89</v>
      </c>
      <c r="F715" t="s">
        <v>1385</v>
      </c>
      <c r="G715">
        <v>585.79999999999995</v>
      </c>
      <c r="H715">
        <v>9</v>
      </c>
      <c r="I715">
        <v>129.66999999999999</v>
      </c>
      <c r="J715" t="s">
        <v>18</v>
      </c>
      <c r="K715" s="6">
        <f>tblSales[[#This Row],[Profit]]/tblSales[[#This Row],[Sales]]</f>
        <v>0.22135541140320927</v>
      </c>
      <c r="L715" t="str">
        <f>TEXT(tblSales[[#This Row],[Order Date]],"mmm")</f>
        <v>Mar</v>
      </c>
      <c r="M715">
        <f>YEAR(tblSales[[#This Row],[Order Date]])</f>
        <v>2024</v>
      </c>
    </row>
    <row r="716" spans="1:13">
      <c r="A716" t="s">
        <v>1386</v>
      </c>
      <c r="B716" s="1">
        <v>45378</v>
      </c>
      <c r="C716" t="s">
        <v>20</v>
      </c>
      <c r="D716" t="s">
        <v>15</v>
      </c>
      <c r="E716" t="s">
        <v>79</v>
      </c>
      <c r="F716" t="s">
        <v>1374</v>
      </c>
      <c r="G716">
        <v>132.04</v>
      </c>
      <c r="H716">
        <v>7</v>
      </c>
      <c r="I716">
        <v>37.78</v>
      </c>
      <c r="J716" t="s">
        <v>18</v>
      </c>
      <c r="K716" s="6">
        <f>tblSales[[#This Row],[Profit]]/tblSales[[#This Row],[Sales]]</f>
        <v>0.28612541654044232</v>
      </c>
      <c r="L716" t="str">
        <f>TEXT(tblSales[[#This Row],[Order Date]],"mmm")</f>
        <v>Mar</v>
      </c>
      <c r="M716">
        <f>YEAR(tblSales[[#This Row],[Order Date]])</f>
        <v>2024</v>
      </c>
    </row>
    <row r="717" spans="1:13">
      <c r="A717" t="s">
        <v>1387</v>
      </c>
      <c r="B717" s="1">
        <v>45379</v>
      </c>
      <c r="C717" t="s">
        <v>33</v>
      </c>
      <c r="D717" t="s">
        <v>73</v>
      </c>
      <c r="E717" t="s">
        <v>84</v>
      </c>
      <c r="F717" t="s">
        <v>209</v>
      </c>
      <c r="G717">
        <v>1349.53</v>
      </c>
      <c r="H717">
        <v>7</v>
      </c>
      <c r="I717">
        <v>134.61000000000001</v>
      </c>
      <c r="J717" t="s">
        <v>18</v>
      </c>
      <c r="K717" s="6">
        <f>tblSales[[#This Row],[Profit]]/tblSales[[#This Row],[Sales]]</f>
        <v>9.9745837439701238E-2</v>
      </c>
      <c r="L717" t="str">
        <f>TEXT(tblSales[[#This Row],[Order Date]],"mmm")</f>
        <v>Mar</v>
      </c>
      <c r="M717">
        <f>YEAR(tblSales[[#This Row],[Order Date]])</f>
        <v>2024</v>
      </c>
    </row>
    <row r="718" spans="1:13">
      <c r="A718" t="s">
        <v>1388</v>
      </c>
      <c r="B718" s="1">
        <v>45380</v>
      </c>
      <c r="C718" t="s">
        <v>33</v>
      </c>
      <c r="D718" t="s">
        <v>15</v>
      </c>
      <c r="E718" t="s">
        <v>52</v>
      </c>
      <c r="F718" t="s">
        <v>1389</v>
      </c>
      <c r="G718">
        <v>1506.86</v>
      </c>
      <c r="H718">
        <v>8</v>
      </c>
      <c r="I718">
        <v>448.43</v>
      </c>
      <c r="J718" t="s">
        <v>18</v>
      </c>
      <c r="K718" s="6">
        <f>tblSales[[#This Row],[Profit]]/tblSales[[#This Row],[Sales]]</f>
        <v>0.29759234434519466</v>
      </c>
      <c r="L718" t="str">
        <f>TEXT(tblSales[[#This Row],[Order Date]],"mmm")</f>
        <v>Mar</v>
      </c>
      <c r="M718">
        <f>YEAR(tblSales[[#This Row],[Order Date]])</f>
        <v>2024</v>
      </c>
    </row>
    <row r="719" spans="1:13">
      <c r="A719" t="s">
        <v>1390</v>
      </c>
      <c r="B719" s="1">
        <v>45381</v>
      </c>
      <c r="C719" t="s">
        <v>14</v>
      </c>
      <c r="D719" t="s">
        <v>73</v>
      </c>
      <c r="E719" t="s">
        <v>74</v>
      </c>
      <c r="F719" t="s">
        <v>1391</v>
      </c>
      <c r="G719">
        <v>875.4</v>
      </c>
      <c r="H719">
        <v>9</v>
      </c>
      <c r="I719">
        <v>46.28</v>
      </c>
      <c r="J719" t="s">
        <v>24</v>
      </c>
      <c r="K719" s="6">
        <f>tblSales[[#This Row],[Profit]]/tblSales[[#This Row],[Sales]]</f>
        <v>5.286726068083162E-2</v>
      </c>
      <c r="L719" t="str">
        <f>TEXT(tblSales[[#This Row],[Order Date]],"mmm")</f>
        <v>Mar</v>
      </c>
      <c r="M719">
        <f>YEAR(tblSales[[#This Row],[Order Date]])</f>
        <v>2024</v>
      </c>
    </row>
    <row r="720" spans="1:13">
      <c r="A720" t="s">
        <v>1392</v>
      </c>
      <c r="B720" s="1">
        <v>45382</v>
      </c>
      <c r="C720" t="s">
        <v>20</v>
      </c>
      <c r="D720" t="s">
        <v>73</v>
      </c>
      <c r="E720" t="s">
        <v>74</v>
      </c>
      <c r="F720" t="s">
        <v>737</v>
      </c>
      <c r="G720">
        <v>1954.67</v>
      </c>
      <c r="H720">
        <v>2</v>
      </c>
      <c r="I720">
        <v>572.07000000000005</v>
      </c>
      <c r="J720" t="s">
        <v>24</v>
      </c>
      <c r="K720" s="6">
        <f>tblSales[[#This Row],[Profit]]/tblSales[[#This Row],[Sales]]</f>
        <v>0.29266832764609885</v>
      </c>
      <c r="L720" t="str">
        <f>TEXT(tblSales[[#This Row],[Order Date]],"mmm")</f>
        <v>Mar</v>
      </c>
      <c r="M720">
        <f>YEAR(tblSales[[#This Row],[Order Date]])</f>
        <v>2024</v>
      </c>
    </row>
    <row r="721" spans="1:13">
      <c r="A721" t="s">
        <v>1393</v>
      </c>
      <c r="B721" s="1">
        <v>45383</v>
      </c>
      <c r="C721" t="s">
        <v>20</v>
      </c>
      <c r="D721" t="s">
        <v>73</v>
      </c>
      <c r="E721" t="s">
        <v>164</v>
      </c>
      <c r="F721" t="s">
        <v>267</v>
      </c>
      <c r="G721">
        <v>819.13</v>
      </c>
      <c r="H721">
        <v>5</v>
      </c>
      <c r="I721">
        <v>79.83</v>
      </c>
      <c r="J721" t="s">
        <v>18</v>
      </c>
      <c r="K721" s="6">
        <f>tblSales[[#This Row],[Profit]]/tblSales[[#This Row],[Sales]]</f>
        <v>9.7457058098226163E-2</v>
      </c>
      <c r="L721" t="str">
        <f>TEXT(tblSales[[#This Row],[Order Date]],"mmm")</f>
        <v>Apr</v>
      </c>
      <c r="M721">
        <f>YEAR(tblSales[[#This Row],[Order Date]])</f>
        <v>2024</v>
      </c>
    </row>
    <row r="722" spans="1:13">
      <c r="A722" t="s">
        <v>1394</v>
      </c>
      <c r="B722" s="1">
        <v>45384</v>
      </c>
      <c r="C722" t="s">
        <v>14</v>
      </c>
      <c r="D722" t="s">
        <v>26</v>
      </c>
      <c r="E722" t="s">
        <v>27</v>
      </c>
      <c r="F722" t="s">
        <v>1395</v>
      </c>
      <c r="G722">
        <v>424.79</v>
      </c>
      <c r="H722">
        <v>1</v>
      </c>
      <c r="I722">
        <v>63.46</v>
      </c>
      <c r="J722" t="s">
        <v>29</v>
      </c>
      <c r="K722" s="6">
        <f>tblSales[[#This Row],[Profit]]/tblSales[[#This Row],[Sales]]</f>
        <v>0.14939146401751452</v>
      </c>
      <c r="L722" t="str">
        <f>TEXT(tblSales[[#This Row],[Order Date]],"mmm")</f>
        <v>Apr</v>
      </c>
      <c r="M722">
        <f>YEAR(tblSales[[#This Row],[Order Date]])</f>
        <v>2024</v>
      </c>
    </row>
    <row r="723" spans="1:13">
      <c r="A723" t="s">
        <v>1396</v>
      </c>
      <c r="B723" s="1">
        <v>45385</v>
      </c>
      <c r="C723" t="s">
        <v>14</v>
      </c>
      <c r="D723" t="s">
        <v>40</v>
      </c>
      <c r="E723" t="s">
        <v>44</v>
      </c>
      <c r="F723" t="s">
        <v>1397</v>
      </c>
      <c r="G723">
        <v>1043.24</v>
      </c>
      <c r="H723">
        <v>3</v>
      </c>
      <c r="I723">
        <v>122.2</v>
      </c>
      <c r="J723" t="s">
        <v>29</v>
      </c>
      <c r="K723" s="6">
        <f>tblSales[[#This Row],[Profit]]/tblSales[[#This Row],[Sales]]</f>
        <v>0.11713507917641194</v>
      </c>
      <c r="L723" t="str">
        <f>TEXT(tblSales[[#This Row],[Order Date]],"mmm")</f>
        <v>Apr</v>
      </c>
      <c r="M723">
        <f>YEAR(tblSales[[#This Row],[Order Date]])</f>
        <v>2024</v>
      </c>
    </row>
    <row r="724" spans="1:13">
      <c r="A724" t="s">
        <v>1398</v>
      </c>
      <c r="B724" s="1">
        <v>45386</v>
      </c>
      <c r="C724" t="s">
        <v>20</v>
      </c>
      <c r="D724" t="s">
        <v>21</v>
      </c>
      <c r="E724" t="s">
        <v>22</v>
      </c>
      <c r="F724" t="s">
        <v>154</v>
      </c>
      <c r="G724">
        <v>1320.38</v>
      </c>
      <c r="H724">
        <v>6</v>
      </c>
      <c r="I724">
        <v>113.53</v>
      </c>
      <c r="J724" t="s">
        <v>18</v>
      </c>
      <c r="K724" s="6">
        <f>tblSales[[#This Row],[Profit]]/tblSales[[#This Row],[Sales]]</f>
        <v>8.5982823126675642E-2</v>
      </c>
      <c r="L724" t="str">
        <f>TEXT(tblSales[[#This Row],[Order Date]],"mmm")</f>
        <v>Apr</v>
      </c>
      <c r="M724">
        <f>YEAR(tblSales[[#This Row],[Order Date]])</f>
        <v>2024</v>
      </c>
    </row>
    <row r="725" spans="1:13">
      <c r="A725" t="s">
        <v>1399</v>
      </c>
      <c r="B725" s="1">
        <v>45387</v>
      </c>
      <c r="C725" t="s">
        <v>20</v>
      </c>
      <c r="D725" t="s">
        <v>15</v>
      </c>
      <c r="E725" t="s">
        <v>16</v>
      </c>
      <c r="F725" t="s">
        <v>1400</v>
      </c>
      <c r="G725">
        <v>360.78</v>
      </c>
      <c r="H725">
        <v>6</v>
      </c>
      <c r="I725">
        <v>24.2</v>
      </c>
      <c r="J725" t="s">
        <v>24</v>
      </c>
      <c r="K725" s="6">
        <f>tblSales[[#This Row],[Profit]]/tblSales[[#This Row],[Sales]]</f>
        <v>6.7076888962802825E-2</v>
      </c>
      <c r="L725" t="str">
        <f>TEXT(tblSales[[#This Row],[Order Date]],"mmm")</f>
        <v>Apr</v>
      </c>
      <c r="M725">
        <f>YEAR(tblSales[[#This Row],[Order Date]])</f>
        <v>2024</v>
      </c>
    </row>
    <row r="726" spans="1:13">
      <c r="A726" t="s">
        <v>1401</v>
      </c>
      <c r="B726" s="1">
        <v>45388</v>
      </c>
      <c r="C726" t="s">
        <v>39</v>
      </c>
      <c r="D726" t="s">
        <v>21</v>
      </c>
      <c r="E726" t="s">
        <v>89</v>
      </c>
      <c r="F726" t="s">
        <v>1402</v>
      </c>
      <c r="G726">
        <v>1397.68</v>
      </c>
      <c r="H726">
        <v>3</v>
      </c>
      <c r="I726">
        <v>287.8</v>
      </c>
      <c r="J726" t="s">
        <v>29</v>
      </c>
      <c r="K726" s="6">
        <f>tblSales[[#This Row],[Profit]]/tblSales[[#This Row],[Sales]]</f>
        <v>0.2059126552572835</v>
      </c>
      <c r="L726" t="str">
        <f>TEXT(tblSales[[#This Row],[Order Date]],"mmm")</f>
        <v>Apr</v>
      </c>
      <c r="M726">
        <f>YEAR(tblSales[[#This Row],[Order Date]])</f>
        <v>2024</v>
      </c>
    </row>
    <row r="727" spans="1:13">
      <c r="A727" t="s">
        <v>1403</v>
      </c>
      <c r="B727" s="1">
        <v>45389</v>
      </c>
      <c r="C727" t="s">
        <v>20</v>
      </c>
      <c r="D727" t="s">
        <v>40</v>
      </c>
      <c r="E727" t="s">
        <v>41</v>
      </c>
      <c r="F727" t="s">
        <v>674</v>
      </c>
      <c r="G727">
        <v>549.46</v>
      </c>
      <c r="H727">
        <v>2</v>
      </c>
      <c r="I727">
        <v>124.15</v>
      </c>
      <c r="J727" t="s">
        <v>24</v>
      </c>
      <c r="K727" s="6">
        <f>tblSales[[#This Row],[Profit]]/tblSales[[#This Row],[Sales]]</f>
        <v>0.22594911367524478</v>
      </c>
      <c r="L727" t="str">
        <f>TEXT(tblSales[[#This Row],[Order Date]],"mmm")</f>
        <v>Apr</v>
      </c>
      <c r="M727">
        <f>YEAR(tblSales[[#This Row],[Order Date]])</f>
        <v>2024</v>
      </c>
    </row>
    <row r="728" spans="1:13">
      <c r="A728" t="s">
        <v>1404</v>
      </c>
      <c r="B728" s="1">
        <v>45390</v>
      </c>
      <c r="C728" t="s">
        <v>14</v>
      </c>
      <c r="D728" t="s">
        <v>26</v>
      </c>
      <c r="E728" t="s">
        <v>49</v>
      </c>
      <c r="F728" t="s">
        <v>1405</v>
      </c>
      <c r="G728">
        <v>1358.53</v>
      </c>
      <c r="H728">
        <v>1</v>
      </c>
      <c r="I728">
        <v>296.18</v>
      </c>
      <c r="J728" t="s">
        <v>24</v>
      </c>
      <c r="K728" s="6">
        <f>tblSales[[#This Row],[Profit]]/tblSales[[#This Row],[Sales]]</f>
        <v>0.2180150603961635</v>
      </c>
      <c r="L728" t="str">
        <f>TEXT(tblSales[[#This Row],[Order Date]],"mmm")</f>
        <v>Apr</v>
      </c>
      <c r="M728">
        <f>YEAR(tblSales[[#This Row],[Order Date]])</f>
        <v>2024</v>
      </c>
    </row>
    <row r="729" spans="1:13">
      <c r="A729" t="s">
        <v>1406</v>
      </c>
      <c r="B729" s="1">
        <v>45391</v>
      </c>
      <c r="C729" t="s">
        <v>33</v>
      </c>
      <c r="D729" t="s">
        <v>15</v>
      </c>
      <c r="E729" t="s">
        <v>52</v>
      </c>
      <c r="F729" t="s">
        <v>1407</v>
      </c>
      <c r="G729">
        <v>556.77</v>
      </c>
      <c r="H729">
        <v>2</v>
      </c>
      <c r="I729">
        <v>148.38999999999999</v>
      </c>
      <c r="J729" t="s">
        <v>29</v>
      </c>
      <c r="K729" s="6">
        <f>tblSales[[#This Row],[Profit]]/tblSales[[#This Row],[Sales]]</f>
        <v>0.26651938861648433</v>
      </c>
      <c r="L729" t="str">
        <f>TEXT(tblSales[[#This Row],[Order Date]],"mmm")</f>
        <v>Apr</v>
      </c>
      <c r="M729">
        <f>YEAR(tblSales[[#This Row],[Order Date]])</f>
        <v>2024</v>
      </c>
    </row>
    <row r="730" spans="1:13">
      <c r="A730" t="s">
        <v>1408</v>
      </c>
      <c r="B730" s="1">
        <v>45392</v>
      </c>
      <c r="C730" t="s">
        <v>14</v>
      </c>
      <c r="D730" t="s">
        <v>73</v>
      </c>
      <c r="E730" t="s">
        <v>84</v>
      </c>
      <c r="F730" t="s">
        <v>1409</v>
      </c>
      <c r="G730">
        <v>229.69</v>
      </c>
      <c r="H730">
        <v>5</v>
      </c>
      <c r="I730">
        <v>65.73</v>
      </c>
      <c r="J730" t="s">
        <v>29</v>
      </c>
      <c r="K730" s="6">
        <f>tblSales[[#This Row],[Profit]]/tblSales[[#This Row],[Sales]]</f>
        <v>0.28616831381427144</v>
      </c>
      <c r="L730" t="str">
        <f>TEXT(tblSales[[#This Row],[Order Date]],"mmm")</f>
        <v>Apr</v>
      </c>
      <c r="M730">
        <f>YEAR(tblSales[[#This Row],[Order Date]])</f>
        <v>2024</v>
      </c>
    </row>
    <row r="731" spans="1:13">
      <c r="A731" t="s">
        <v>1410</v>
      </c>
      <c r="B731" s="1">
        <v>45393</v>
      </c>
      <c r="C731" t="s">
        <v>20</v>
      </c>
      <c r="D731" t="s">
        <v>15</v>
      </c>
      <c r="E731" t="s">
        <v>60</v>
      </c>
      <c r="F731" t="s">
        <v>859</v>
      </c>
      <c r="G731">
        <v>1768.33</v>
      </c>
      <c r="H731">
        <v>8</v>
      </c>
      <c r="I731">
        <v>348.18</v>
      </c>
      <c r="J731" t="s">
        <v>24</v>
      </c>
      <c r="K731" s="6">
        <f>tblSales[[#This Row],[Profit]]/tblSales[[#This Row],[Sales]]</f>
        <v>0.19689763788433157</v>
      </c>
      <c r="L731" t="str">
        <f>TEXT(tblSales[[#This Row],[Order Date]],"mmm")</f>
        <v>Apr</v>
      </c>
      <c r="M731">
        <f>YEAR(tblSales[[#This Row],[Order Date]])</f>
        <v>2024</v>
      </c>
    </row>
    <row r="732" spans="1:13">
      <c r="A732" t="s">
        <v>1411</v>
      </c>
      <c r="B732" s="1">
        <v>45394</v>
      </c>
      <c r="C732" t="s">
        <v>33</v>
      </c>
      <c r="D732" t="s">
        <v>15</v>
      </c>
      <c r="E732" t="s">
        <v>16</v>
      </c>
      <c r="F732" t="s">
        <v>1412</v>
      </c>
      <c r="G732">
        <v>1366.62</v>
      </c>
      <c r="H732">
        <v>1</v>
      </c>
      <c r="I732">
        <v>73.59</v>
      </c>
      <c r="J732" t="s">
        <v>24</v>
      </c>
      <c r="K732" s="6">
        <f>tblSales[[#This Row],[Profit]]/tblSales[[#This Row],[Sales]]</f>
        <v>5.3848180181762309E-2</v>
      </c>
      <c r="L732" t="str">
        <f>TEXT(tblSales[[#This Row],[Order Date]],"mmm")</f>
        <v>Apr</v>
      </c>
      <c r="M732">
        <f>YEAR(tblSales[[#This Row],[Order Date]])</f>
        <v>2024</v>
      </c>
    </row>
    <row r="733" spans="1:13">
      <c r="A733" t="s">
        <v>1413</v>
      </c>
      <c r="B733" s="1">
        <v>45395</v>
      </c>
      <c r="C733" t="s">
        <v>39</v>
      </c>
      <c r="D733" t="s">
        <v>15</v>
      </c>
      <c r="E733" t="s">
        <v>79</v>
      </c>
      <c r="F733" t="s">
        <v>1414</v>
      </c>
      <c r="G733">
        <v>521.14</v>
      </c>
      <c r="H733">
        <v>4</v>
      </c>
      <c r="I733">
        <v>148.47999999999999</v>
      </c>
      <c r="J733" t="s">
        <v>29</v>
      </c>
      <c r="K733" s="6">
        <f>tblSales[[#This Row],[Profit]]/tblSales[[#This Row],[Sales]]</f>
        <v>0.2849138427294009</v>
      </c>
      <c r="L733" t="str">
        <f>TEXT(tblSales[[#This Row],[Order Date]],"mmm")</f>
        <v>Apr</v>
      </c>
      <c r="M733">
        <f>YEAR(tblSales[[#This Row],[Order Date]])</f>
        <v>2024</v>
      </c>
    </row>
    <row r="734" spans="1:13">
      <c r="A734" t="s">
        <v>1415</v>
      </c>
      <c r="B734" s="1">
        <v>45396</v>
      </c>
      <c r="C734" t="s">
        <v>14</v>
      </c>
      <c r="D734" t="s">
        <v>40</v>
      </c>
      <c r="E734" t="s">
        <v>44</v>
      </c>
      <c r="F734" t="s">
        <v>1416</v>
      </c>
      <c r="G734">
        <v>1456.94</v>
      </c>
      <c r="H734">
        <v>6</v>
      </c>
      <c r="I734">
        <v>428.71</v>
      </c>
      <c r="J734" t="s">
        <v>18</v>
      </c>
      <c r="K734" s="6">
        <f>tblSales[[#This Row],[Profit]]/tblSales[[#This Row],[Sales]]</f>
        <v>0.294253709830192</v>
      </c>
      <c r="L734" t="str">
        <f>TEXT(tblSales[[#This Row],[Order Date]],"mmm")</f>
        <v>Apr</v>
      </c>
      <c r="M734">
        <f>YEAR(tblSales[[#This Row],[Order Date]])</f>
        <v>2024</v>
      </c>
    </row>
    <row r="735" spans="1:13">
      <c r="A735" t="s">
        <v>1417</v>
      </c>
      <c r="B735" s="1">
        <v>45397</v>
      </c>
      <c r="C735" t="s">
        <v>39</v>
      </c>
      <c r="D735" t="s">
        <v>73</v>
      </c>
      <c r="E735" t="s">
        <v>164</v>
      </c>
      <c r="F735" t="s">
        <v>1418</v>
      </c>
      <c r="G735">
        <v>36.47</v>
      </c>
      <c r="H735">
        <v>6</v>
      </c>
      <c r="I735">
        <v>4.8099999999999996</v>
      </c>
      <c r="J735" t="s">
        <v>18</v>
      </c>
      <c r="K735" s="6">
        <f>tblSales[[#This Row],[Profit]]/tblSales[[#This Row],[Sales]]</f>
        <v>0.13188922401974223</v>
      </c>
      <c r="L735" t="str">
        <f>TEXT(tblSales[[#This Row],[Order Date]],"mmm")</f>
        <v>Apr</v>
      </c>
      <c r="M735">
        <f>YEAR(tblSales[[#This Row],[Order Date]])</f>
        <v>2024</v>
      </c>
    </row>
    <row r="736" spans="1:13">
      <c r="A736" t="s">
        <v>1419</v>
      </c>
      <c r="B736" s="1">
        <v>45398</v>
      </c>
      <c r="C736" t="s">
        <v>20</v>
      </c>
      <c r="D736" t="s">
        <v>26</v>
      </c>
      <c r="E736" t="s">
        <v>34</v>
      </c>
      <c r="F736" t="s">
        <v>723</v>
      </c>
      <c r="G736">
        <v>1830.81</v>
      </c>
      <c r="H736">
        <v>4</v>
      </c>
      <c r="I736">
        <v>290.37</v>
      </c>
      <c r="J736" t="s">
        <v>18</v>
      </c>
      <c r="K736" s="6">
        <f>tblSales[[#This Row],[Profit]]/tblSales[[#This Row],[Sales]]</f>
        <v>0.15860193029314895</v>
      </c>
      <c r="L736" t="str">
        <f>TEXT(tblSales[[#This Row],[Order Date]],"mmm")</f>
        <v>Apr</v>
      </c>
      <c r="M736">
        <f>YEAR(tblSales[[#This Row],[Order Date]])</f>
        <v>2024</v>
      </c>
    </row>
    <row r="737" spans="1:13">
      <c r="A737" t="s">
        <v>1420</v>
      </c>
      <c r="B737" s="1">
        <v>45399</v>
      </c>
      <c r="C737" t="s">
        <v>14</v>
      </c>
      <c r="D737" t="s">
        <v>26</v>
      </c>
      <c r="E737" t="s">
        <v>34</v>
      </c>
      <c r="F737" t="s">
        <v>1421</v>
      </c>
      <c r="G737">
        <v>37.93</v>
      </c>
      <c r="H737">
        <v>8</v>
      </c>
      <c r="I737">
        <v>4.07</v>
      </c>
      <c r="J737" t="s">
        <v>18</v>
      </c>
      <c r="K737" s="6">
        <f>tblSales[[#This Row],[Profit]]/tblSales[[#This Row],[Sales]]</f>
        <v>0.10730292644344847</v>
      </c>
      <c r="L737" t="str">
        <f>TEXT(tblSales[[#This Row],[Order Date]],"mmm")</f>
        <v>Apr</v>
      </c>
      <c r="M737">
        <f>YEAR(tblSales[[#This Row],[Order Date]])</f>
        <v>2024</v>
      </c>
    </row>
    <row r="738" spans="1:13">
      <c r="A738" t="s">
        <v>1422</v>
      </c>
      <c r="B738" s="1">
        <v>45400</v>
      </c>
      <c r="C738" t="s">
        <v>39</v>
      </c>
      <c r="D738" t="s">
        <v>26</v>
      </c>
      <c r="E738" t="s">
        <v>34</v>
      </c>
      <c r="F738" t="s">
        <v>1042</v>
      </c>
      <c r="G738">
        <v>1347.94</v>
      </c>
      <c r="H738">
        <v>2</v>
      </c>
      <c r="I738">
        <v>308.02</v>
      </c>
      <c r="J738" t="s">
        <v>29</v>
      </c>
      <c r="K738" s="6">
        <f>tblSales[[#This Row],[Profit]]/tblSales[[#This Row],[Sales]]</f>
        <v>0.22851165482143121</v>
      </c>
      <c r="L738" t="str">
        <f>TEXT(tblSales[[#This Row],[Order Date]],"mmm")</f>
        <v>Apr</v>
      </c>
      <c r="M738">
        <f>YEAR(tblSales[[#This Row],[Order Date]])</f>
        <v>2024</v>
      </c>
    </row>
    <row r="739" spans="1:13">
      <c r="A739" t="s">
        <v>1423</v>
      </c>
      <c r="B739" s="1">
        <v>45401</v>
      </c>
      <c r="C739" t="s">
        <v>14</v>
      </c>
      <c r="D739" t="s">
        <v>26</v>
      </c>
      <c r="E739" t="s">
        <v>49</v>
      </c>
      <c r="F739" t="s">
        <v>1424</v>
      </c>
      <c r="G739">
        <v>414.56</v>
      </c>
      <c r="H739">
        <v>7</v>
      </c>
      <c r="I739">
        <v>25.91</v>
      </c>
      <c r="J739" t="s">
        <v>29</v>
      </c>
      <c r="K739" s="6">
        <f>tblSales[[#This Row],[Profit]]/tblSales[[#This Row],[Sales]]</f>
        <v>6.25E-2</v>
      </c>
      <c r="L739" t="str">
        <f>TEXT(tblSales[[#This Row],[Order Date]],"mmm")</f>
        <v>Apr</v>
      </c>
      <c r="M739">
        <f>YEAR(tblSales[[#This Row],[Order Date]])</f>
        <v>2024</v>
      </c>
    </row>
    <row r="740" spans="1:13">
      <c r="A740" t="s">
        <v>1425</v>
      </c>
      <c r="B740" s="1">
        <v>45402</v>
      </c>
      <c r="C740" t="s">
        <v>20</v>
      </c>
      <c r="D740" t="s">
        <v>15</v>
      </c>
      <c r="E740" t="s">
        <v>60</v>
      </c>
      <c r="F740" t="s">
        <v>398</v>
      </c>
      <c r="G740">
        <v>78.42</v>
      </c>
      <c r="H740">
        <v>1</v>
      </c>
      <c r="I740">
        <v>8.1199999999999992</v>
      </c>
      <c r="J740" t="s">
        <v>18</v>
      </c>
      <c r="K740" s="6">
        <f>tblSales[[#This Row],[Profit]]/tblSales[[#This Row],[Sales]]</f>
        <v>0.10354501402703391</v>
      </c>
      <c r="L740" t="str">
        <f>TEXT(tblSales[[#This Row],[Order Date]],"mmm")</f>
        <v>Apr</v>
      </c>
      <c r="M740">
        <f>YEAR(tblSales[[#This Row],[Order Date]])</f>
        <v>2024</v>
      </c>
    </row>
    <row r="741" spans="1:13">
      <c r="A741" t="s">
        <v>1426</v>
      </c>
      <c r="B741" s="1">
        <v>45403</v>
      </c>
      <c r="C741" t="s">
        <v>33</v>
      </c>
      <c r="D741" t="s">
        <v>26</v>
      </c>
      <c r="E741" t="s">
        <v>27</v>
      </c>
      <c r="F741" t="s">
        <v>1427</v>
      </c>
      <c r="G741">
        <v>510.17</v>
      </c>
      <c r="H741">
        <v>8</v>
      </c>
      <c r="I741">
        <v>70.77</v>
      </c>
      <c r="J741" t="s">
        <v>24</v>
      </c>
      <c r="K741" s="6">
        <f>tblSales[[#This Row],[Profit]]/tblSales[[#This Row],[Sales]]</f>
        <v>0.13871846639355509</v>
      </c>
      <c r="L741" t="str">
        <f>TEXT(tblSales[[#This Row],[Order Date]],"mmm")</f>
        <v>Apr</v>
      </c>
      <c r="M741">
        <f>YEAR(tblSales[[#This Row],[Order Date]])</f>
        <v>2024</v>
      </c>
    </row>
    <row r="742" spans="1:13">
      <c r="A742" t="s">
        <v>1428</v>
      </c>
      <c r="B742" s="1">
        <v>45404</v>
      </c>
      <c r="C742" t="s">
        <v>33</v>
      </c>
      <c r="D742" t="s">
        <v>21</v>
      </c>
      <c r="E742" t="s">
        <v>22</v>
      </c>
      <c r="F742" t="s">
        <v>1429</v>
      </c>
      <c r="G742">
        <v>1352.29</v>
      </c>
      <c r="H742">
        <v>2</v>
      </c>
      <c r="I742">
        <v>193.45</v>
      </c>
      <c r="J742" t="s">
        <v>29</v>
      </c>
      <c r="K742" s="6">
        <f>tblSales[[#This Row],[Profit]]/tblSales[[#This Row],[Sales]]</f>
        <v>0.14305363494516707</v>
      </c>
      <c r="L742" t="str">
        <f>TEXT(tblSales[[#This Row],[Order Date]],"mmm")</f>
        <v>Apr</v>
      </c>
      <c r="M742">
        <f>YEAR(tblSales[[#This Row],[Order Date]])</f>
        <v>2024</v>
      </c>
    </row>
    <row r="743" spans="1:13">
      <c r="A743" t="s">
        <v>1430</v>
      </c>
      <c r="B743" s="1">
        <v>45405</v>
      </c>
      <c r="C743" t="s">
        <v>14</v>
      </c>
      <c r="D743" t="s">
        <v>73</v>
      </c>
      <c r="E743" t="s">
        <v>84</v>
      </c>
      <c r="F743" t="s">
        <v>1431</v>
      </c>
      <c r="G743">
        <v>1772.23</v>
      </c>
      <c r="H743">
        <v>3</v>
      </c>
      <c r="I743">
        <v>307.26</v>
      </c>
      <c r="J743" t="s">
        <v>29</v>
      </c>
      <c r="K743" s="6">
        <f>tblSales[[#This Row],[Profit]]/tblSales[[#This Row],[Sales]]</f>
        <v>0.17337478769685649</v>
      </c>
      <c r="L743" t="str">
        <f>TEXT(tblSales[[#This Row],[Order Date]],"mmm")</f>
        <v>Apr</v>
      </c>
      <c r="M743">
        <f>YEAR(tblSales[[#This Row],[Order Date]])</f>
        <v>2024</v>
      </c>
    </row>
    <row r="744" spans="1:13">
      <c r="A744" t="s">
        <v>1432</v>
      </c>
      <c r="B744" s="1">
        <v>45406</v>
      </c>
      <c r="C744" t="s">
        <v>39</v>
      </c>
      <c r="D744" t="s">
        <v>40</v>
      </c>
      <c r="E744" t="s">
        <v>44</v>
      </c>
      <c r="F744" t="s">
        <v>1433</v>
      </c>
      <c r="G744">
        <v>1577.8</v>
      </c>
      <c r="H744">
        <v>3</v>
      </c>
      <c r="I744">
        <v>322.18</v>
      </c>
      <c r="J744" t="s">
        <v>29</v>
      </c>
      <c r="K744" s="6">
        <f>tblSales[[#This Row],[Profit]]/tblSales[[#This Row],[Sales]]</f>
        <v>0.20419571555330207</v>
      </c>
      <c r="L744" t="str">
        <f>TEXT(tblSales[[#This Row],[Order Date]],"mmm")</f>
        <v>Apr</v>
      </c>
      <c r="M744">
        <f>YEAR(tblSales[[#This Row],[Order Date]])</f>
        <v>2024</v>
      </c>
    </row>
    <row r="745" spans="1:13">
      <c r="A745" t="s">
        <v>1434</v>
      </c>
      <c r="B745" s="1">
        <v>45407</v>
      </c>
      <c r="C745" t="s">
        <v>14</v>
      </c>
      <c r="D745" t="s">
        <v>15</v>
      </c>
      <c r="E745" t="s">
        <v>16</v>
      </c>
      <c r="F745" t="s">
        <v>697</v>
      </c>
      <c r="G745">
        <v>155.55000000000001</v>
      </c>
      <c r="H745">
        <v>1</v>
      </c>
      <c r="I745">
        <v>43.58</v>
      </c>
      <c r="J745" t="s">
        <v>24</v>
      </c>
      <c r="K745" s="6">
        <f>tblSales[[#This Row],[Profit]]/tblSales[[#This Row],[Sales]]</f>
        <v>0.28016714882674376</v>
      </c>
      <c r="L745" t="str">
        <f>TEXT(tblSales[[#This Row],[Order Date]],"mmm")</f>
        <v>Apr</v>
      </c>
      <c r="M745">
        <f>YEAR(tblSales[[#This Row],[Order Date]])</f>
        <v>2024</v>
      </c>
    </row>
    <row r="746" spans="1:13">
      <c r="A746" t="s">
        <v>1435</v>
      </c>
      <c r="B746" s="1">
        <v>45408</v>
      </c>
      <c r="C746" t="s">
        <v>20</v>
      </c>
      <c r="D746" t="s">
        <v>26</v>
      </c>
      <c r="E746" t="s">
        <v>27</v>
      </c>
      <c r="F746" t="s">
        <v>1436</v>
      </c>
      <c r="G746">
        <v>1085.9000000000001</v>
      </c>
      <c r="H746">
        <v>1</v>
      </c>
      <c r="I746">
        <v>289.17</v>
      </c>
      <c r="J746" t="s">
        <v>24</v>
      </c>
      <c r="K746" s="6">
        <f>tblSales[[#This Row],[Profit]]/tblSales[[#This Row],[Sales]]</f>
        <v>0.26629523897228102</v>
      </c>
      <c r="L746" t="str">
        <f>TEXT(tblSales[[#This Row],[Order Date]],"mmm")</f>
        <v>Apr</v>
      </c>
      <c r="M746">
        <f>YEAR(tblSales[[#This Row],[Order Date]])</f>
        <v>2024</v>
      </c>
    </row>
    <row r="747" spans="1:13">
      <c r="A747" t="s">
        <v>1437</v>
      </c>
      <c r="B747" s="1">
        <v>45409</v>
      </c>
      <c r="C747" t="s">
        <v>20</v>
      </c>
      <c r="D747" t="s">
        <v>26</v>
      </c>
      <c r="E747" t="s">
        <v>27</v>
      </c>
      <c r="F747" t="s">
        <v>1438</v>
      </c>
      <c r="G747">
        <v>1339.6</v>
      </c>
      <c r="H747">
        <v>8</v>
      </c>
      <c r="I747">
        <v>330.67</v>
      </c>
      <c r="J747" t="s">
        <v>24</v>
      </c>
      <c r="K747" s="6">
        <f>tblSales[[#This Row],[Profit]]/tblSales[[#This Row],[Sales]]</f>
        <v>0.24684234099731267</v>
      </c>
      <c r="L747" t="str">
        <f>TEXT(tblSales[[#This Row],[Order Date]],"mmm")</f>
        <v>Apr</v>
      </c>
      <c r="M747">
        <f>YEAR(tblSales[[#This Row],[Order Date]])</f>
        <v>2024</v>
      </c>
    </row>
    <row r="748" spans="1:13">
      <c r="A748" t="s">
        <v>1439</v>
      </c>
      <c r="B748" s="1">
        <v>45410</v>
      </c>
      <c r="C748" t="s">
        <v>14</v>
      </c>
      <c r="D748" t="s">
        <v>26</v>
      </c>
      <c r="E748" t="s">
        <v>34</v>
      </c>
      <c r="F748" t="s">
        <v>1440</v>
      </c>
      <c r="G748">
        <v>511.8</v>
      </c>
      <c r="H748">
        <v>6</v>
      </c>
      <c r="I748">
        <v>80.3</v>
      </c>
      <c r="J748" t="s">
        <v>24</v>
      </c>
      <c r="K748" s="6">
        <f>tblSales[[#This Row],[Profit]]/tblSales[[#This Row],[Sales]]</f>
        <v>0.15689722547870261</v>
      </c>
      <c r="L748" t="str">
        <f>TEXT(tblSales[[#This Row],[Order Date]],"mmm")</f>
        <v>Apr</v>
      </c>
      <c r="M748">
        <f>YEAR(tblSales[[#This Row],[Order Date]])</f>
        <v>2024</v>
      </c>
    </row>
    <row r="749" spans="1:13">
      <c r="A749" t="s">
        <v>1441</v>
      </c>
      <c r="B749" s="1">
        <v>45411</v>
      </c>
      <c r="C749" t="s">
        <v>20</v>
      </c>
      <c r="D749" t="s">
        <v>73</v>
      </c>
      <c r="E749" t="s">
        <v>84</v>
      </c>
      <c r="F749" t="s">
        <v>1442</v>
      </c>
      <c r="G749">
        <v>1305.6600000000001</v>
      </c>
      <c r="H749">
        <v>5</v>
      </c>
      <c r="I749">
        <v>321.19</v>
      </c>
      <c r="J749" t="s">
        <v>29</v>
      </c>
      <c r="K749" s="6">
        <f>tblSales[[#This Row],[Profit]]/tblSales[[#This Row],[Sales]]</f>
        <v>0.24599819248502672</v>
      </c>
      <c r="L749" t="str">
        <f>TEXT(tblSales[[#This Row],[Order Date]],"mmm")</f>
        <v>Apr</v>
      </c>
      <c r="M749">
        <f>YEAR(tblSales[[#This Row],[Order Date]])</f>
        <v>2024</v>
      </c>
    </row>
    <row r="750" spans="1:13">
      <c r="A750" t="s">
        <v>1443</v>
      </c>
      <c r="B750" s="1">
        <v>45412</v>
      </c>
      <c r="C750" t="s">
        <v>14</v>
      </c>
      <c r="D750" t="s">
        <v>40</v>
      </c>
      <c r="E750" t="s">
        <v>41</v>
      </c>
      <c r="F750" t="s">
        <v>1444</v>
      </c>
      <c r="G750">
        <v>1010.16</v>
      </c>
      <c r="H750">
        <v>9</v>
      </c>
      <c r="I750">
        <v>101.29</v>
      </c>
      <c r="J750" t="s">
        <v>24</v>
      </c>
      <c r="K750" s="6">
        <f>tblSales[[#This Row],[Profit]]/tblSales[[#This Row],[Sales]]</f>
        <v>0.10027124415934111</v>
      </c>
      <c r="L750" t="str">
        <f>TEXT(tblSales[[#This Row],[Order Date]],"mmm")</f>
        <v>Apr</v>
      </c>
      <c r="M750">
        <f>YEAR(tblSales[[#This Row],[Order Date]])</f>
        <v>2024</v>
      </c>
    </row>
    <row r="751" spans="1:13">
      <c r="A751" t="s">
        <v>1445</v>
      </c>
      <c r="B751" s="1">
        <v>45413</v>
      </c>
      <c r="C751" t="s">
        <v>14</v>
      </c>
      <c r="D751" t="s">
        <v>26</v>
      </c>
      <c r="E751" t="s">
        <v>49</v>
      </c>
      <c r="F751" t="s">
        <v>1446</v>
      </c>
      <c r="G751">
        <v>131.22999999999999</v>
      </c>
      <c r="H751">
        <v>6</v>
      </c>
      <c r="I751">
        <v>7.49</v>
      </c>
      <c r="J751" t="s">
        <v>18</v>
      </c>
      <c r="K751" s="6">
        <f>tblSales[[#This Row],[Profit]]/tblSales[[#This Row],[Sales]]</f>
        <v>5.7075363864969905E-2</v>
      </c>
      <c r="L751" t="str">
        <f>TEXT(tblSales[[#This Row],[Order Date]],"mmm")</f>
        <v>May</v>
      </c>
      <c r="M751">
        <f>YEAR(tblSales[[#This Row],[Order Date]])</f>
        <v>2024</v>
      </c>
    </row>
    <row r="752" spans="1:13">
      <c r="A752" t="s">
        <v>1447</v>
      </c>
      <c r="B752" s="1">
        <v>45414</v>
      </c>
      <c r="C752" t="s">
        <v>39</v>
      </c>
      <c r="D752" t="s">
        <v>40</v>
      </c>
      <c r="E752" t="s">
        <v>41</v>
      </c>
      <c r="F752" t="s">
        <v>1448</v>
      </c>
      <c r="G752">
        <v>1533.59</v>
      </c>
      <c r="H752">
        <v>6</v>
      </c>
      <c r="I752">
        <v>327.87</v>
      </c>
      <c r="J752" t="s">
        <v>18</v>
      </c>
      <c r="K752" s="6">
        <f>tblSales[[#This Row],[Profit]]/tblSales[[#This Row],[Sales]]</f>
        <v>0.21379247386850464</v>
      </c>
      <c r="L752" t="str">
        <f>TEXT(tblSales[[#This Row],[Order Date]],"mmm")</f>
        <v>May</v>
      </c>
      <c r="M752">
        <f>YEAR(tblSales[[#This Row],[Order Date]])</f>
        <v>2024</v>
      </c>
    </row>
    <row r="753" spans="1:13">
      <c r="A753" t="s">
        <v>1449</v>
      </c>
      <c r="B753" s="1">
        <v>45415</v>
      </c>
      <c r="C753" t="s">
        <v>39</v>
      </c>
      <c r="D753" t="s">
        <v>26</v>
      </c>
      <c r="E753" t="s">
        <v>27</v>
      </c>
      <c r="F753" t="s">
        <v>1450</v>
      </c>
      <c r="G753">
        <v>335.79</v>
      </c>
      <c r="H753">
        <v>5</v>
      </c>
      <c r="I753">
        <v>82.82</v>
      </c>
      <c r="J753" t="s">
        <v>29</v>
      </c>
      <c r="K753" s="6">
        <f>tblSales[[#This Row],[Profit]]/tblSales[[#This Row],[Sales]]</f>
        <v>0.2466422466422466</v>
      </c>
      <c r="L753" t="str">
        <f>TEXT(tblSales[[#This Row],[Order Date]],"mmm")</f>
        <v>May</v>
      </c>
      <c r="M753">
        <f>YEAR(tblSales[[#This Row],[Order Date]])</f>
        <v>2024</v>
      </c>
    </row>
    <row r="754" spans="1:13">
      <c r="A754" t="s">
        <v>1451</v>
      </c>
      <c r="B754" s="1">
        <v>45416</v>
      </c>
      <c r="C754" t="s">
        <v>14</v>
      </c>
      <c r="D754" t="s">
        <v>26</v>
      </c>
      <c r="E754" t="s">
        <v>34</v>
      </c>
      <c r="F754" t="s">
        <v>1452</v>
      </c>
      <c r="G754">
        <v>1446.72</v>
      </c>
      <c r="H754">
        <v>4</v>
      </c>
      <c r="I754">
        <v>233.72</v>
      </c>
      <c r="J754" t="s">
        <v>24</v>
      </c>
      <c r="K754" s="6">
        <f>tblSales[[#This Row],[Profit]]/tblSales[[#This Row],[Sales]]</f>
        <v>0.16155164786551648</v>
      </c>
      <c r="L754" t="str">
        <f>TEXT(tblSales[[#This Row],[Order Date]],"mmm")</f>
        <v>May</v>
      </c>
      <c r="M754">
        <f>YEAR(tblSales[[#This Row],[Order Date]])</f>
        <v>2024</v>
      </c>
    </row>
    <row r="755" spans="1:13">
      <c r="A755" t="s">
        <v>1453</v>
      </c>
      <c r="B755" s="1">
        <v>45417</v>
      </c>
      <c r="C755" t="s">
        <v>14</v>
      </c>
      <c r="D755" t="s">
        <v>21</v>
      </c>
      <c r="E755" t="s">
        <v>22</v>
      </c>
      <c r="F755" t="s">
        <v>1454</v>
      </c>
      <c r="G755">
        <v>633.41999999999996</v>
      </c>
      <c r="H755">
        <v>8</v>
      </c>
      <c r="I755">
        <v>119.3</v>
      </c>
      <c r="J755" t="s">
        <v>18</v>
      </c>
      <c r="K755" s="6">
        <f>tblSales[[#This Row],[Profit]]/tblSales[[#This Row],[Sales]]</f>
        <v>0.18834264784818922</v>
      </c>
      <c r="L755" t="str">
        <f>TEXT(tblSales[[#This Row],[Order Date]],"mmm")</f>
        <v>May</v>
      </c>
      <c r="M755">
        <f>YEAR(tblSales[[#This Row],[Order Date]])</f>
        <v>2024</v>
      </c>
    </row>
    <row r="756" spans="1:13">
      <c r="A756" t="s">
        <v>1455</v>
      </c>
      <c r="B756" s="1">
        <v>45418</v>
      </c>
      <c r="C756" t="s">
        <v>14</v>
      </c>
      <c r="D756" t="s">
        <v>40</v>
      </c>
      <c r="E756" t="s">
        <v>41</v>
      </c>
      <c r="F756" t="s">
        <v>1456</v>
      </c>
      <c r="G756">
        <v>1490.21</v>
      </c>
      <c r="H756">
        <v>4</v>
      </c>
      <c r="I756">
        <v>399.61</v>
      </c>
      <c r="J756" t="s">
        <v>18</v>
      </c>
      <c r="K756" s="6">
        <f>tblSales[[#This Row],[Profit]]/tblSales[[#This Row],[Sales]]</f>
        <v>0.26815683695586529</v>
      </c>
      <c r="L756" t="str">
        <f>TEXT(tblSales[[#This Row],[Order Date]],"mmm")</f>
        <v>May</v>
      </c>
      <c r="M756">
        <f>YEAR(tblSales[[#This Row],[Order Date]])</f>
        <v>2024</v>
      </c>
    </row>
    <row r="757" spans="1:13">
      <c r="A757" t="s">
        <v>1457</v>
      </c>
      <c r="B757" s="1">
        <v>45419</v>
      </c>
      <c r="C757" t="s">
        <v>14</v>
      </c>
      <c r="D757" t="s">
        <v>15</v>
      </c>
      <c r="E757" t="s">
        <v>52</v>
      </c>
      <c r="F757" t="s">
        <v>705</v>
      </c>
      <c r="G757">
        <v>1829.3</v>
      </c>
      <c r="H757">
        <v>5</v>
      </c>
      <c r="I757">
        <v>240.89</v>
      </c>
      <c r="J757" t="s">
        <v>24</v>
      </c>
      <c r="K757" s="6">
        <f>tblSales[[#This Row],[Profit]]/tblSales[[#This Row],[Sales]]</f>
        <v>0.13168425080631935</v>
      </c>
      <c r="L757" t="str">
        <f>TEXT(tblSales[[#This Row],[Order Date]],"mmm")</f>
        <v>May</v>
      </c>
      <c r="M757">
        <f>YEAR(tblSales[[#This Row],[Order Date]])</f>
        <v>2024</v>
      </c>
    </row>
    <row r="758" spans="1:13">
      <c r="A758" t="s">
        <v>1458</v>
      </c>
      <c r="B758" s="1">
        <v>45420</v>
      </c>
      <c r="C758" t="s">
        <v>33</v>
      </c>
      <c r="D758" t="s">
        <v>26</v>
      </c>
      <c r="E758" t="s">
        <v>27</v>
      </c>
      <c r="F758" t="s">
        <v>1459</v>
      </c>
      <c r="G758">
        <v>557.57000000000005</v>
      </c>
      <c r="H758">
        <v>1</v>
      </c>
      <c r="I758">
        <v>72.290000000000006</v>
      </c>
      <c r="J758" t="s">
        <v>18</v>
      </c>
      <c r="K758" s="6">
        <f>tblSales[[#This Row],[Profit]]/tblSales[[#This Row],[Sales]]</f>
        <v>0.12965188227487132</v>
      </c>
      <c r="L758" t="str">
        <f>TEXT(tblSales[[#This Row],[Order Date]],"mmm")</f>
        <v>May</v>
      </c>
      <c r="M758">
        <f>YEAR(tblSales[[#This Row],[Order Date]])</f>
        <v>2024</v>
      </c>
    </row>
    <row r="759" spans="1:13">
      <c r="A759" t="s">
        <v>1460</v>
      </c>
      <c r="B759" s="1">
        <v>45421</v>
      </c>
      <c r="C759" t="s">
        <v>14</v>
      </c>
      <c r="D759" t="s">
        <v>21</v>
      </c>
      <c r="E759" t="s">
        <v>89</v>
      </c>
      <c r="F759" t="s">
        <v>1461</v>
      </c>
      <c r="G759">
        <v>1115.67</v>
      </c>
      <c r="H759">
        <v>3</v>
      </c>
      <c r="I759">
        <v>153.1</v>
      </c>
      <c r="J759" t="s">
        <v>18</v>
      </c>
      <c r="K759" s="6">
        <f>tblSales[[#This Row],[Profit]]/tblSales[[#This Row],[Sales]]</f>
        <v>0.13722695779217867</v>
      </c>
      <c r="L759" t="str">
        <f>TEXT(tblSales[[#This Row],[Order Date]],"mmm")</f>
        <v>May</v>
      </c>
      <c r="M759">
        <f>YEAR(tblSales[[#This Row],[Order Date]])</f>
        <v>2024</v>
      </c>
    </row>
    <row r="760" spans="1:13">
      <c r="A760" t="s">
        <v>1462</v>
      </c>
      <c r="B760" s="1">
        <v>45422</v>
      </c>
      <c r="C760" t="s">
        <v>20</v>
      </c>
      <c r="D760" t="s">
        <v>40</v>
      </c>
      <c r="E760" t="s">
        <v>44</v>
      </c>
      <c r="F760" t="s">
        <v>1463</v>
      </c>
      <c r="G760">
        <v>1593.08</v>
      </c>
      <c r="H760">
        <v>7</v>
      </c>
      <c r="I760">
        <v>413.37</v>
      </c>
      <c r="J760" t="s">
        <v>29</v>
      </c>
      <c r="K760" s="6">
        <f>tblSales[[#This Row],[Profit]]/tblSales[[#This Row],[Sales]]</f>
        <v>0.2594784944886635</v>
      </c>
      <c r="L760" t="str">
        <f>TEXT(tblSales[[#This Row],[Order Date]],"mmm")</f>
        <v>May</v>
      </c>
      <c r="M760">
        <f>YEAR(tblSales[[#This Row],[Order Date]])</f>
        <v>2024</v>
      </c>
    </row>
    <row r="761" spans="1:13">
      <c r="A761" t="s">
        <v>1464</v>
      </c>
      <c r="B761" s="1">
        <v>45423</v>
      </c>
      <c r="C761" t="s">
        <v>39</v>
      </c>
      <c r="D761" t="s">
        <v>15</v>
      </c>
      <c r="E761" t="s">
        <v>16</v>
      </c>
      <c r="F761" t="s">
        <v>1465</v>
      </c>
      <c r="G761">
        <v>840.74</v>
      </c>
      <c r="H761">
        <v>6</v>
      </c>
      <c r="I761">
        <v>104.24</v>
      </c>
      <c r="J761" t="s">
        <v>18</v>
      </c>
      <c r="K761" s="6">
        <f>tblSales[[#This Row],[Profit]]/tblSales[[#This Row],[Sales]]</f>
        <v>0.12398601232247781</v>
      </c>
      <c r="L761" t="str">
        <f>TEXT(tblSales[[#This Row],[Order Date]],"mmm")</f>
        <v>May</v>
      </c>
      <c r="M761">
        <f>YEAR(tblSales[[#This Row],[Order Date]])</f>
        <v>2024</v>
      </c>
    </row>
    <row r="762" spans="1:13">
      <c r="A762" t="s">
        <v>1466</v>
      </c>
      <c r="B762" s="1">
        <v>45424</v>
      </c>
      <c r="C762" t="s">
        <v>33</v>
      </c>
      <c r="D762" t="s">
        <v>26</v>
      </c>
      <c r="E762" t="s">
        <v>49</v>
      </c>
      <c r="F762" t="s">
        <v>1467</v>
      </c>
      <c r="G762">
        <v>833.97</v>
      </c>
      <c r="H762">
        <v>4</v>
      </c>
      <c r="I762">
        <v>89.57</v>
      </c>
      <c r="J762" t="s">
        <v>18</v>
      </c>
      <c r="K762" s="6">
        <f>tblSales[[#This Row],[Profit]]/tblSales[[#This Row],[Sales]]</f>
        <v>0.10740194491408563</v>
      </c>
      <c r="L762" t="str">
        <f>TEXT(tblSales[[#This Row],[Order Date]],"mmm")</f>
        <v>May</v>
      </c>
      <c r="M762">
        <f>YEAR(tblSales[[#This Row],[Order Date]])</f>
        <v>2024</v>
      </c>
    </row>
    <row r="763" spans="1:13">
      <c r="A763" t="s">
        <v>1468</v>
      </c>
      <c r="B763" s="1">
        <v>45425</v>
      </c>
      <c r="C763" t="s">
        <v>33</v>
      </c>
      <c r="D763" t="s">
        <v>73</v>
      </c>
      <c r="E763" t="s">
        <v>164</v>
      </c>
      <c r="F763" t="s">
        <v>1469</v>
      </c>
      <c r="G763">
        <v>1486.44</v>
      </c>
      <c r="H763">
        <v>5</v>
      </c>
      <c r="I763">
        <v>341.41</v>
      </c>
      <c r="J763" t="s">
        <v>18</v>
      </c>
      <c r="K763" s="6">
        <f>tblSales[[#This Row],[Profit]]/tblSales[[#This Row],[Sales]]</f>
        <v>0.22968300099566752</v>
      </c>
      <c r="L763" t="str">
        <f>TEXT(tblSales[[#This Row],[Order Date]],"mmm")</f>
        <v>May</v>
      </c>
      <c r="M763">
        <f>YEAR(tblSales[[#This Row],[Order Date]])</f>
        <v>2024</v>
      </c>
    </row>
    <row r="764" spans="1:13">
      <c r="A764" t="s">
        <v>1470</v>
      </c>
      <c r="B764" s="1">
        <v>45426</v>
      </c>
      <c r="C764" t="s">
        <v>33</v>
      </c>
      <c r="D764" t="s">
        <v>73</v>
      </c>
      <c r="E764" t="s">
        <v>74</v>
      </c>
      <c r="F764" t="s">
        <v>1471</v>
      </c>
      <c r="G764">
        <v>1039.57</v>
      </c>
      <c r="H764">
        <v>6</v>
      </c>
      <c r="I764">
        <v>192.68</v>
      </c>
      <c r="J764" t="s">
        <v>29</v>
      </c>
      <c r="K764" s="6">
        <f>tblSales[[#This Row],[Profit]]/tblSales[[#This Row],[Sales]]</f>
        <v>0.18534586415537196</v>
      </c>
      <c r="L764" t="str">
        <f>TEXT(tblSales[[#This Row],[Order Date]],"mmm")</f>
        <v>May</v>
      </c>
      <c r="M764">
        <f>YEAR(tblSales[[#This Row],[Order Date]])</f>
        <v>2024</v>
      </c>
    </row>
    <row r="765" spans="1:13">
      <c r="A765" t="s">
        <v>1472</v>
      </c>
      <c r="B765" s="1">
        <v>45427</v>
      </c>
      <c r="C765" t="s">
        <v>20</v>
      </c>
      <c r="D765" t="s">
        <v>26</v>
      </c>
      <c r="E765" t="s">
        <v>27</v>
      </c>
      <c r="F765" t="s">
        <v>1473</v>
      </c>
      <c r="G765">
        <v>348.18</v>
      </c>
      <c r="H765">
        <v>3</v>
      </c>
      <c r="I765">
        <v>38.43</v>
      </c>
      <c r="J765" t="s">
        <v>29</v>
      </c>
      <c r="K765" s="6">
        <f>tblSales[[#This Row],[Profit]]/tblSales[[#This Row],[Sales]]</f>
        <v>0.11037394451145958</v>
      </c>
      <c r="L765" t="str">
        <f>TEXT(tblSales[[#This Row],[Order Date]],"mmm")</f>
        <v>May</v>
      </c>
      <c r="M765">
        <f>YEAR(tblSales[[#This Row],[Order Date]])</f>
        <v>2024</v>
      </c>
    </row>
    <row r="766" spans="1:13">
      <c r="A766" t="s">
        <v>1474</v>
      </c>
      <c r="B766" s="1">
        <v>45428</v>
      </c>
      <c r="C766" t="s">
        <v>39</v>
      </c>
      <c r="D766" t="s">
        <v>26</v>
      </c>
      <c r="E766" t="s">
        <v>27</v>
      </c>
      <c r="F766" t="s">
        <v>1033</v>
      </c>
      <c r="G766">
        <v>460.28</v>
      </c>
      <c r="H766">
        <v>9</v>
      </c>
      <c r="I766">
        <v>47.4</v>
      </c>
      <c r="J766" t="s">
        <v>18</v>
      </c>
      <c r="K766" s="6">
        <f>tblSales[[#This Row],[Profit]]/tblSales[[#This Row],[Sales]]</f>
        <v>0.10298079429912228</v>
      </c>
      <c r="L766" t="str">
        <f>TEXT(tblSales[[#This Row],[Order Date]],"mmm")</f>
        <v>May</v>
      </c>
      <c r="M766">
        <f>YEAR(tblSales[[#This Row],[Order Date]])</f>
        <v>2024</v>
      </c>
    </row>
    <row r="767" spans="1:13">
      <c r="A767" t="s">
        <v>1475</v>
      </c>
      <c r="B767" s="1">
        <v>45429</v>
      </c>
      <c r="C767" t="s">
        <v>33</v>
      </c>
      <c r="D767" t="s">
        <v>15</v>
      </c>
      <c r="E767" t="s">
        <v>60</v>
      </c>
      <c r="F767" t="s">
        <v>1476</v>
      </c>
      <c r="G767">
        <v>134.31</v>
      </c>
      <c r="H767">
        <v>6</v>
      </c>
      <c r="I767">
        <v>15.7</v>
      </c>
      <c r="J767" t="s">
        <v>29</v>
      </c>
      <c r="K767" s="6">
        <f>tblSales[[#This Row],[Profit]]/tblSales[[#This Row],[Sales]]</f>
        <v>0.11689375325738961</v>
      </c>
      <c r="L767" t="str">
        <f>TEXT(tblSales[[#This Row],[Order Date]],"mmm")</f>
        <v>May</v>
      </c>
      <c r="M767">
        <f>YEAR(tblSales[[#This Row],[Order Date]])</f>
        <v>2024</v>
      </c>
    </row>
    <row r="768" spans="1:13">
      <c r="A768" t="s">
        <v>1477</v>
      </c>
      <c r="B768" s="1">
        <v>45430</v>
      </c>
      <c r="C768" t="s">
        <v>20</v>
      </c>
      <c r="D768" t="s">
        <v>40</v>
      </c>
      <c r="E768" t="s">
        <v>92</v>
      </c>
      <c r="F768" t="s">
        <v>1478</v>
      </c>
      <c r="G768">
        <v>1503.79</v>
      </c>
      <c r="H768">
        <v>8</v>
      </c>
      <c r="I768">
        <v>306.89</v>
      </c>
      <c r="J768" t="s">
        <v>24</v>
      </c>
      <c r="K768" s="6">
        <f>tblSales[[#This Row],[Profit]]/tblSales[[#This Row],[Sales]]</f>
        <v>0.20407769701886566</v>
      </c>
      <c r="L768" t="str">
        <f>TEXT(tblSales[[#This Row],[Order Date]],"mmm")</f>
        <v>May</v>
      </c>
      <c r="M768">
        <f>YEAR(tblSales[[#This Row],[Order Date]])</f>
        <v>2024</v>
      </c>
    </row>
    <row r="769" spans="1:13">
      <c r="A769" t="s">
        <v>1479</v>
      </c>
      <c r="B769" s="1">
        <v>45431</v>
      </c>
      <c r="C769" t="s">
        <v>20</v>
      </c>
      <c r="D769" t="s">
        <v>26</v>
      </c>
      <c r="E769" t="s">
        <v>49</v>
      </c>
      <c r="F769" t="s">
        <v>412</v>
      </c>
      <c r="G769">
        <v>843.23</v>
      </c>
      <c r="H769">
        <v>1</v>
      </c>
      <c r="I769">
        <v>156.19</v>
      </c>
      <c r="J769" t="s">
        <v>29</v>
      </c>
      <c r="K769" s="6">
        <f>tblSales[[#This Row],[Profit]]/tblSales[[#This Row],[Sales]]</f>
        <v>0.18522822954591273</v>
      </c>
      <c r="L769" t="str">
        <f>TEXT(tblSales[[#This Row],[Order Date]],"mmm")</f>
        <v>May</v>
      </c>
      <c r="M769">
        <f>YEAR(tblSales[[#This Row],[Order Date]])</f>
        <v>2024</v>
      </c>
    </row>
    <row r="770" spans="1:13">
      <c r="A770" t="s">
        <v>1480</v>
      </c>
      <c r="B770" s="1">
        <v>45432</v>
      </c>
      <c r="C770" t="s">
        <v>20</v>
      </c>
      <c r="D770" t="s">
        <v>15</v>
      </c>
      <c r="E770" t="s">
        <v>16</v>
      </c>
      <c r="F770" t="s">
        <v>975</v>
      </c>
      <c r="G770">
        <v>1410.25</v>
      </c>
      <c r="H770">
        <v>1</v>
      </c>
      <c r="I770">
        <v>142.32</v>
      </c>
      <c r="J770" t="s">
        <v>29</v>
      </c>
      <c r="K770" s="6">
        <f>tblSales[[#This Row],[Profit]]/tblSales[[#This Row],[Sales]]</f>
        <v>0.10091827690125864</v>
      </c>
      <c r="L770" t="str">
        <f>TEXT(tblSales[[#This Row],[Order Date]],"mmm")</f>
        <v>May</v>
      </c>
      <c r="M770">
        <f>YEAR(tblSales[[#This Row],[Order Date]])</f>
        <v>2024</v>
      </c>
    </row>
    <row r="771" spans="1:13">
      <c r="A771" t="s">
        <v>1481</v>
      </c>
      <c r="B771" s="1">
        <v>45433</v>
      </c>
      <c r="C771" t="s">
        <v>39</v>
      </c>
      <c r="D771" t="s">
        <v>15</v>
      </c>
      <c r="E771" t="s">
        <v>60</v>
      </c>
      <c r="F771" t="s">
        <v>1482</v>
      </c>
      <c r="G771">
        <v>1743.64</v>
      </c>
      <c r="H771">
        <v>2</v>
      </c>
      <c r="I771">
        <v>96.83</v>
      </c>
      <c r="J771" t="s">
        <v>29</v>
      </c>
      <c r="K771" s="6">
        <f>tblSales[[#This Row],[Profit]]/tblSales[[#This Row],[Sales]]</f>
        <v>5.5533252276846135E-2</v>
      </c>
      <c r="L771" t="str">
        <f>TEXT(tblSales[[#This Row],[Order Date]],"mmm")</f>
        <v>May</v>
      </c>
      <c r="M771">
        <f>YEAR(tblSales[[#This Row],[Order Date]])</f>
        <v>2024</v>
      </c>
    </row>
    <row r="772" spans="1:13">
      <c r="A772" t="s">
        <v>1483</v>
      </c>
      <c r="B772" s="1">
        <v>45434</v>
      </c>
      <c r="C772" t="s">
        <v>20</v>
      </c>
      <c r="D772" t="s">
        <v>21</v>
      </c>
      <c r="E772" t="s">
        <v>89</v>
      </c>
      <c r="F772" t="s">
        <v>1484</v>
      </c>
      <c r="G772">
        <v>1219.1600000000001</v>
      </c>
      <c r="H772">
        <v>7</v>
      </c>
      <c r="I772">
        <v>104.49</v>
      </c>
      <c r="J772" t="s">
        <v>24</v>
      </c>
      <c r="K772" s="6">
        <f>tblSales[[#This Row],[Profit]]/tblSales[[#This Row],[Sales]]</f>
        <v>8.5706552052232668E-2</v>
      </c>
      <c r="L772" t="str">
        <f>TEXT(tblSales[[#This Row],[Order Date]],"mmm")</f>
        <v>May</v>
      </c>
      <c r="M772">
        <f>YEAR(tblSales[[#This Row],[Order Date]])</f>
        <v>2024</v>
      </c>
    </row>
    <row r="773" spans="1:13">
      <c r="A773" t="s">
        <v>1485</v>
      </c>
      <c r="B773" s="1">
        <v>45435</v>
      </c>
      <c r="C773" t="s">
        <v>33</v>
      </c>
      <c r="D773" t="s">
        <v>26</v>
      </c>
      <c r="E773" t="s">
        <v>34</v>
      </c>
      <c r="F773" t="s">
        <v>510</v>
      </c>
      <c r="G773">
        <v>428.38</v>
      </c>
      <c r="H773">
        <v>5</v>
      </c>
      <c r="I773">
        <v>103.33</v>
      </c>
      <c r="J773" t="s">
        <v>29</v>
      </c>
      <c r="K773" s="6">
        <f>tblSales[[#This Row],[Profit]]/tblSales[[#This Row],[Sales]]</f>
        <v>0.24121107427984501</v>
      </c>
      <c r="L773" t="str">
        <f>TEXT(tblSales[[#This Row],[Order Date]],"mmm")</f>
        <v>May</v>
      </c>
      <c r="M773">
        <f>YEAR(tblSales[[#This Row],[Order Date]])</f>
        <v>2024</v>
      </c>
    </row>
    <row r="774" spans="1:13">
      <c r="A774" t="s">
        <v>1486</v>
      </c>
      <c r="B774" s="1">
        <v>45436</v>
      </c>
      <c r="C774" t="s">
        <v>14</v>
      </c>
      <c r="D774" t="s">
        <v>73</v>
      </c>
      <c r="E774" t="s">
        <v>84</v>
      </c>
      <c r="F774" t="s">
        <v>1487</v>
      </c>
      <c r="G774">
        <v>1550.51</v>
      </c>
      <c r="H774">
        <v>7</v>
      </c>
      <c r="I774">
        <v>240.05</v>
      </c>
      <c r="J774" t="s">
        <v>29</v>
      </c>
      <c r="K774" s="6">
        <f>tblSales[[#This Row],[Profit]]/tblSales[[#This Row],[Sales]]</f>
        <v>0.15482002695887159</v>
      </c>
      <c r="L774" t="str">
        <f>TEXT(tblSales[[#This Row],[Order Date]],"mmm")</f>
        <v>May</v>
      </c>
      <c r="M774">
        <f>YEAR(tblSales[[#This Row],[Order Date]])</f>
        <v>2024</v>
      </c>
    </row>
    <row r="775" spans="1:13">
      <c r="A775" t="s">
        <v>1488</v>
      </c>
      <c r="B775" s="1">
        <v>45437</v>
      </c>
      <c r="C775" t="s">
        <v>20</v>
      </c>
      <c r="D775" t="s">
        <v>21</v>
      </c>
      <c r="E775" t="s">
        <v>22</v>
      </c>
      <c r="F775" t="s">
        <v>1489</v>
      </c>
      <c r="G775">
        <v>1717.47</v>
      </c>
      <c r="H775">
        <v>3</v>
      </c>
      <c r="I775">
        <v>326.61</v>
      </c>
      <c r="J775" t="s">
        <v>29</v>
      </c>
      <c r="K775" s="6">
        <f>tblSales[[#This Row],[Profit]]/tblSales[[#This Row],[Sales]]</f>
        <v>0.19016926059843842</v>
      </c>
      <c r="L775" t="str">
        <f>TEXT(tblSales[[#This Row],[Order Date]],"mmm")</f>
        <v>May</v>
      </c>
      <c r="M775">
        <f>YEAR(tblSales[[#This Row],[Order Date]])</f>
        <v>2024</v>
      </c>
    </row>
    <row r="776" spans="1:13">
      <c r="A776" t="s">
        <v>1490</v>
      </c>
      <c r="B776" s="1">
        <v>45438</v>
      </c>
      <c r="C776" t="s">
        <v>14</v>
      </c>
      <c r="D776" t="s">
        <v>40</v>
      </c>
      <c r="E776" t="s">
        <v>44</v>
      </c>
      <c r="F776" t="s">
        <v>1491</v>
      </c>
      <c r="G776">
        <v>1434.99</v>
      </c>
      <c r="H776">
        <v>9</v>
      </c>
      <c r="I776">
        <v>334.11</v>
      </c>
      <c r="J776" t="s">
        <v>18</v>
      </c>
      <c r="K776" s="6">
        <f>tblSales[[#This Row],[Profit]]/tblSales[[#This Row],[Sales]]</f>
        <v>0.23283089080760144</v>
      </c>
      <c r="L776" t="str">
        <f>TEXT(tblSales[[#This Row],[Order Date]],"mmm")</f>
        <v>May</v>
      </c>
      <c r="M776">
        <f>YEAR(tblSales[[#This Row],[Order Date]])</f>
        <v>2024</v>
      </c>
    </row>
    <row r="777" spans="1:13">
      <c r="A777" t="s">
        <v>1492</v>
      </c>
      <c r="B777" s="1">
        <v>45439</v>
      </c>
      <c r="C777" t="s">
        <v>33</v>
      </c>
      <c r="D777" t="s">
        <v>15</v>
      </c>
      <c r="E777" t="s">
        <v>79</v>
      </c>
      <c r="F777" t="s">
        <v>1493</v>
      </c>
      <c r="G777">
        <v>1510.22</v>
      </c>
      <c r="H777">
        <v>9</v>
      </c>
      <c r="I777">
        <v>405.56</v>
      </c>
      <c r="J777" t="s">
        <v>29</v>
      </c>
      <c r="K777" s="6">
        <f>tblSales[[#This Row],[Profit]]/tblSales[[#This Row],[Sales]]</f>
        <v>0.26854365589119467</v>
      </c>
      <c r="L777" t="str">
        <f>TEXT(tblSales[[#This Row],[Order Date]],"mmm")</f>
        <v>May</v>
      </c>
      <c r="M777">
        <f>YEAR(tblSales[[#This Row],[Order Date]])</f>
        <v>2024</v>
      </c>
    </row>
    <row r="778" spans="1:13">
      <c r="A778" t="s">
        <v>1494</v>
      </c>
      <c r="B778" s="1">
        <v>45440</v>
      </c>
      <c r="C778" t="s">
        <v>39</v>
      </c>
      <c r="D778" t="s">
        <v>40</v>
      </c>
      <c r="E778" t="s">
        <v>44</v>
      </c>
      <c r="F778" t="s">
        <v>1495</v>
      </c>
      <c r="G778">
        <v>680.58</v>
      </c>
      <c r="H778">
        <v>9</v>
      </c>
      <c r="I778">
        <v>124.47</v>
      </c>
      <c r="J778" t="s">
        <v>18</v>
      </c>
      <c r="K778" s="6">
        <f>tblSales[[#This Row],[Profit]]/tblSales[[#This Row],[Sales]]</f>
        <v>0.18288812483469979</v>
      </c>
      <c r="L778" t="str">
        <f>TEXT(tblSales[[#This Row],[Order Date]],"mmm")</f>
        <v>May</v>
      </c>
      <c r="M778">
        <f>YEAR(tblSales[[#This Row],[Order Date]])</f>
        <v>2024</v>
      </c>
    </row>
    <row r="779" spans="1:13">
      <c r="A779" t="s">
        <v>1496</v>
      </c>
      <c r="B779" s="1">
        <v>45441</v>
      </c>
      <c r="C779" t="s">
        <v>20</v>
      </c>
      <c r="D779" t="s">
        <v>73</v>
      </c>
      <c r="E779" t="s">
        <v>164</v>
      </c>
      <c r="F779" t="s">
        <v>1221</v>
      </c>
      <c r="G779">
        <v>1644.79</v>
      </c>
      <c r="H779">
        <v>9</v>
      </c>
      <c r="I779">
        <v>445.15</v>
      </c>
      <c r="J779" t="s">
        <v>18</v>
      </c>
      <c r="K779" s="6">
        <f>tblSales[[#This Row],[Profit]]/tblSales[[#This Row],[Sales]]</f>
        <v>0.27064245283592431</v>
      </c>
      <c r="L779" t="str">
        <f>TEXT(tblSales[[#This Row],[Order Date]],"mmm")</f>
        <v>May</v>
      </c>
      <c r="M779">
        <f>YEAR(tblSales[[#This Row],[Order Date]])</f>
        <v>2024</v>
      </c>
    </row>
    <row r="780" spans="1:13">
      <c r="A780" t="s">
        <v>1497</v>
      </c>
      <c r="B780" s="1">
        <v>45442</v>
      </c>
      <c r="C780" t="s">
        <v>33</v>
      </c>
      <c r="D780" t="s">
        <v>15</v>
      </c>
      <c r="E780" t="s">
        <v>60</v>
      </c>
      <c r="F780" t="s">
        <v>1498</v>
      </c>
      <c r="G780">
        <v>831.28</v>
      </c>
      <c r="H780">
        <v>9</v>
      </c>
      <c r="I780">
        <v>208.56</v>
      </c>
      <c r="J780" t="s">
        <v>29</v>
      </c>
      <c r="K780" s="6">
        <f>tblSales[[#This Row],[Profit]]/tblSales[[#This Row],[Sales]]</f>
        <v>0.25089019343662788</v>
      </c>
      <c r="L780" t="str">
        <f>TEXT(tblSales[[#This Row],[Order Date]],"mmm")</f>
        <v>May</v>
      </c>
      <c r="M780">
        <f>YEAR(tblSales[[#This Row],[Order Date]])</f>
        <v>2024</v>
      </c>
    </row>
    <row r="781" spans="1:13">
      <c r="A781" t="s">
        <v>1499</v>
      </c>
      <c r="B781" s="1">
        <v>45443</v>
      </c>
      <c r="C781" t="s">
        <v>33</v>
      </c>
      <c r="D781" t="s">
        <v>40</v>
      </c>
      <c r="E781" t="s">
        <v>44</v>
      </c>
      <c r="F781" t="s">
        <v>1500</v>
      </c>
      <c r="G781">
        <v>422.88</v>
      </c>
      <c r="H781">
        <v>8</v>
      </c>
      <c r="I781">
        <v>113.9</v>
      </c>
      <c r="J781" t="s">
        <v>29</v>
      </c>
      <c r="K781" s="6">
        <f>tblSales[[#This Row],[Profit]]/tblSales[[#This Row],[Sales]]</f>
        <v>0.26934354899735152</v>
      </c>
      <c r="L781" t="str">
        <f>TEXT(tblSales[[#This Row],[Order Date]],"mmm")</f>
        <v>May</v>
      </c>
      <c r="M781">
        <f>YEAR(tblSales[[#This Row],[Order Date]])</f>
        <v>2024</v>
      </c>
    </row>
    <row r="782" spans="1:13">
      <c r="A782" t="s">
        <v>1501</v>
      </c>
      <c r="B782" s="1">
        <v>45444</v>
      </c>
      <c r="C782" t="s">
        <v>20</v>
      </c>
      <c r="D782" t="s">
        <v>15</v>
      </c>
      <c r="E782" t="s">
        <v>60</v>
      </c>
      <c r="F782" t="s">
        <v>1502</v>
      </c>
      <c r="G782">
        <v>1491.3</v>
      </c>
      <c r="H782">
        <v>4</v>
      </c>
      <c r="I782">
        <v>316.27</v>
      </c>
      <c r="J782" t="s">
        <v>24</v>
      </c>
      <c r="K782" s="6">
        <f>tblSales[[#This Row],[Profit]]/tblSales[[#This Row],[Sales]]</f>
        <v>0.21207671159391134</v>
      </c>
      <c r="L782" t="str">
        <f>TEXT(tblSales[[#This Row],[Order Date]],"mmm")</f>
        <v>Jun</v>
      </c>
      <c r="M782">
        <f>YEAR(tblSales[[#This Row],[Order Date]])</f>
        <v>2024</v>
      </c>
    </row>
    <row r="783" spans="1:13">
      <c r="A783" t="s">
        <v>1503</v>
      </c>
      <c r="B783" s="1">
        <v>45445</v>
      </c>
      <c r="C783" t="s">
        <v>39</v>
      </c>
      <c r="D783" t="s">
        <v>15</v>
      </c>
      <c r="E783" t="s">
        <v>16</v>
      </c>
      <c r="F783" t="s">
        <v>455</v>
      </c>
      <c r="G783">
        <v>763.43</v>
      </c>
      <c r="H783">
        <v>6</v>
      </c>
      <c r="I783">
        <v>120.9</v>
      </c>
      <c r="J783" t="s">
        <v>24</v>
      </c>
      <c r="K783" s="6">
        <f>tblSales[[#This Row],[Profit]]/tblSales[[#This Row],[Sales]]</f>
        <v>0.15836422461784316</v>
      </c>
      <c r="L783" t="str">
        <f>TEXT(tblSales[[#This Row],[Order Date]],"mmm")</f>
        <v>Jun</v>
      </c>
      <c r="M783">
        <f>YEAR(tblSales[[#This Row],[Order Date]])</f>
        <v>2024</v>
      </c>
    </row>
    <row r="784" spans="1:13">
      <c r="A784" t="s">
        <v>1504</v>
      </c>
      <c r="B784" s="1">
        <v>45446</v>
      </c>
      <c r="C784" t="s">
        <v>39</v>
      </c>
      <c r="D784" t="s">
        <v>73</v>
      </c>
      <c r="E784" t="s">
        <v>84</v>
      </c>
      <c r="F784" t="s">
        <v>1505</v>
      </c>
      <c r="G784">
        <v>104.82</v>
      </c>
      <c r="H784">
        <v>3</v>
      </c>
      <c r="I784">
        <v>11.01</v>
      </c>
      <c r="J784" t="s">
        <v>29</v>
      </c>
      <c r="K784" s="6">
        <f>tblSales[[#This Row],[Profit]]/tblSales[[#This Row],[Sales]]</f>
        <v>0.10503720663995421</v>
      </c>
      <c r="L784" t="str">
        <f>TEXT(tblSales[[#This Row],[Order Date]],"mmm")</f>
        <v>Jun</v>
      </c>
      <c r="M784">
        <f>YEAR(tblSales[[#This Row],[Order Date]])</f>
        <v>2024</v>
      </c>
    </row>
    <row r="785" spans="1:13">
      <c r="A785" t="s">
        <v>1506</v>
      </c>
      <c r="B785" s="1">
        <v>45447</v>
      </c>
      <c r="C785" t="s">
        <v>20</v>
      </c>
      <c r="D785" t="s">
        <v>26</v>
      </c>
      <c r="E785" t="s">
        <v>49</v>
      </c>
      <c r="F785" t="s">
        <v>1507</v>
      </c>
      <c r="G785">
        <v>1224.6500000000001</v>
      </c>
      <c r="H785">
        <v>7</v>
      </c>
      <c r="I785">
        <v>174.38</v>
      </c>
      <c r="J785" t="s">
        <v>24</v>
      </c>
      <c r="K785" s="6">
        <f>tblSales[[#This Row],[Profit]]/tblSales[[#This Row],[Sales]]</f>
        <v>0.14239170375209242</v>
      </c>
      <c r="L785" t="str">
        <f>TEXT(tblSales[[#This Row],[Order Date]],"mmm")</f>
        <v>Jun</v>
      </c>
      <c r="M785">
        <f>YEAR(tblSales[[#This Row],[Order Date]])</f>
        <v>2024</v>
      </c>
    </row>
    <row r="786" spans="1:13">
      <c r="A786" t="s">
        <v>1508</v>
      </c>
      <c r="B786" s="1">
        <v>45448</v>
      </c>
      <c r="C786" t="s">
        <v>39</v>
      </c>
      <c r="D786" t="s">
        <v>73</v>
      </c>
      <c r="E786" t="s">
        <v>74</v>
      </c>
      <c r="F786" t="s">
        <v>1509</v>
      </c>
      <c r="G786">
        <v>1451.02</v>
      </c>
      <c r="H786">
        <v>2</v>
      </c>
      <c r="I786">
        <v>312.58</v>
      </c>
      <c r="J786" t="s">
        <v>24</v>
      </c>
      <c r="K786" s="6">
        <f>tblSales[[#This Row],[Profit]]/tblSales[[#This Row],[Sales]]</f>
        <v>0.21542087634905099</v>
      </c>
      <c r="L786" t="str">
        <f>TEXT(tblSales[[#This Row],[Order Date]],"mmm")</f>
        <v>Jun</v>
      </c>
      <c r="M786">
        <f>YEAR(tblSales[[#This Row],[Order Date]])</f>
        <v>2024</v>
      </c>
    </row>
    <row r="787" spans="1:13">
      <c r="A787" t="s">
        <v>1510</v>
      </c>
      <c r="B787" s="1">
        <v>45449</v>
      </c>
      <c r="C787" t="s">
        <v>39</v>
      </c>
      <c r="D787" t="s">
        <v>73</v>
      </c>
      <c r="E787" t="s">
        <v>74</v>
      </c>
      <c r="F787" t="s">
        <v>1511</v>
      </c>
      <c r="G787">
        <v>30.52</v>
      </c>
      <c r="H787">
        <v>2</v>
      </c>
      <c r="I787">
        <v>7.42</v>
      </c>
      <c r="J787" t="s">
        <v>29</v>
      </c>
      <c r="K787" s="6">
        <f>tblSales[[#This Row],[Profit]]/tblSales[[#This Row],[Sales]]</f>
        <v>0.24311926605504589</v>
      </c>
      <c r="L787" t="str">
        <f>TEXT(tblSales[[#This Row],[Order Date]],"mmm")</f>
        <v>Jun</v>
      </c>
      <c r="M787">
        <f>YEAR(tblSales[[#This Row],[Order Date]])</f>
        <v>2024</v>
      </c>
    </row>
    <row r="788" spans="1:13">
      <c r="A788" t="s">
        <v>1512</v>
      </c>
      <c r="B788" s="1">
        <v>45450</v>
      </c>
      <c r="C788" t="s">
        <v>39</v>
      </c>
      <c r="D788" t="s">
        <v>40</v>
      </c>
      <c r="E788" t="s">
        <v>41</v>
      </c>
      <c r="F788" t="s">
        <v>1171</v>
      </c>
      <c r="G788">
        <v>151.6</v>
      </c>
      <c r="H788">
        <v>8</v>
      </c>
      <c r="I788">
        <v>23.73</v>
      </c>
      <c r="J788" t="s">
        <v>29</v>
      </c>
      <c r="K788" s="6">
        <f>tblSales[[#This Row],[Profit]]/tblSales[[#This Row],[Sales]]</f>
        <v>0.15653034300791557</v>
      </c>
      <c r="L788" t="str">
        <f>TEXT(tblSales[[#This Row],[Order Date]],"mmm")</f>
        <v>Jun</v>
      </c>
      <c r="M788">
        <f>YEAR(tblSales[[#This Row],[Order Date]])</f>
        <v>2024</v>
      </c>
    </row>
    <row r="789" spans="1:13">
      <c r="A789" t="s">
        <v>1513</v>
      </c>
      <c r="B789" s="1">
        <v>45451</v>
      </c>
      <c r="C789" t="s">
        <v>14</v>
      </c>
      <c r="D789" t="s">
        <v>26</v>
      </c>
      <c r="E789" t="s">
        <v>49</v>
      </c>
      <c r="F789" t="s">
        <v>1514</v>
      </c>
      <c r="G789">
        <v>1051.72</v>
      </c>
      <c r="H789">
        <v>7</v>
      </c>
      <c r="I789">
        <v>230.71</v>
      </c>
      <c r="J789" t="s">
        <v>29</v>
      </c>
      <c r="K789" s="6">
        <f>tblSales[[#This Row],[Profit]]/tblSales[[#This Row],[Sales]]</f>
        <v>0.21936446963070019</v>
      </c>
      <c r="L789" t="str">
        <f>TEXT(tblSales[[#This Row],[Order Date]],"mmm")</f>
        <v>Jun</v>
      </c>
      <c r="M789">
        <f>YEAR(tblSales[[#This Row],[Order Date]])</f>
        <v>2024</v>
      </c>
    </row>
    <row r="790" spans="1:13">
      <c r="A790" t="s">
        <v>1515</v>
      </c>
      <c r="B790" s="1">
        <v>45452</v>
      </c>
      <c r="C790" t="s">
        <v>39</v>
      </c>
      <c r="D790" t="s">
        <v>40</v>
      </c>
      <c r="E790" t="s">
        <v>41</v>
      </c>
      <c r="F790" t="s">
        <v>1516</v>
      </c>
      <c r="G790">
        <v>1348.89</v>
      </c>
      <c r="H790">
        <v>7</v>
      </c>
      <c r="I790">
        <v>290.85000000000002</v>
      </c>
      <c r="J790" t="s">
        <v>29</v>
      </c>
      <c r="K790" s="6">
        <f>tblSales[[#This Row],[Profit]]/tblSales[[#This Row],[Sales]]</f>
        <v>0.21562173342526078</v>
      </c>
      <c r="L790" t="str">
        <f>TEXT(tblSales[[#This Row],[Order Date]],"mmm")</f>
        <v>Jun</v>
      </c>
      <c r="M790">
        <f>YEAR(tblSales[[#This Row],[Order Date]])</f>
        <v>2024</v>
      </c>
    </row>
    <row r="791" spans="1:13">
      <c r="A791" t="s">
        <v>1517</v>
      </c>
      <c r="B791" s="1">
        <v>45453</v>
      </c>
      <c r="C791" t="s">
        <v>20</v>
      </c>
      <c r="D791" t="s">
        <v>21</v>
      </c>
      <c r="E791" t="s">
        <v>22</v>
      </c>
      <c r="F791" t="s">
        <v>1518</v>
      </c>
      <c r="G791">
        <v>1504.96</v>
      </c>
      <c r="H791">
        <v>1</v>
      </c>
      <c r="I791">
        <v>172.4</v>
      </c>
      <c r="J791" t="s">
        <v>18</v>
      </c>
      <c r="K791" s="6">
        <f>tblSales[[#This Row],[Profit]]/tblSales[[#This Row],[Sales]]</f>
        <v>0.11455453965553902</v>
      </c>
      <c r="L791" t="str">
        <f>TEXT(tblSales[[#This Row],[Order Date]],"mmm")</f>
        <v>Jun</v>
      </c>
      <c r="M791">
        <f>YEAR(tblSales[[#This Row],[Order Date]])</f>
        <v>2024</v>
      </c>
    </row>
    <row r="792" spans="1:13">
      <c r="A792" t="s">
        <v>1519</v>
      </c>
      <c r="B792" s="1">
        <v>45454</v>
      </c>
      <c r="C792" t="s">
        <v>39</v>
      </c>
      <c r="D792" t="s">
        <v>73</v>
      </c>
      <c r="E792" t="s">
        <v>84</v>
      </c>
      <c r="F792" t="s">
        <v>741</v>
      </c>
      <c r="G792">
        <v>1780.47</v>
      </c>
      <c r="H792">
        <v>5</v>
      </c>
      <c r="I792">
        <v>330.12</v>
      </c>
      <c r="J792" t="s">
        <v>18</v>
      </c>
      <c r="K792" s="6">
        <f>tblSales[[#This Row],[Profit]]/tblSales[[#This Row],[Sales]]</f>
        <v>0.18541171713086993</v>
      </c>
      <c r="L792" t="str">
        <f>TEXT(tblSales[[#This Row],[Order Date]],"mmm")</f>
        <v>Jun</v>
      </c>
      <c r="M792">
        <f>YEAR(tblSales[[#This Row],[Order Date]])</f>
        <v>2024</v>
      </c>
    </row>
    <row r="793" spans="1:13">
      <c r="A793" t="s">
        <v>1520</v>
      </c>
      <c r="B793" s="1">
        <v>45455</v>
      </c>
      <c r="C793" t="s">
        <v>20</v>
      </c>
      <c r="D793" t="s">
        <v>26</v>
      </c>
      <c r="E793" t="s">
        <v>27</v>
      </c>
      <c r="F793" t="s">
        <v>1521</v>
      </c>
      <c r="G793">
        <v>627.66999999999996</v>
      </c>
      <c r="H793">
        <v>6</v>
      </c>
      <c r="I793">
        <v>91.99</v>
      </c>
      <c r="J793" t="s">
        <v>24</v>
      </c>
      <c r="K793" s="6">
        <f>tblSales[[#This Row],[Profit]]/tblSales[[#This Row],[Sales]]</f>
        <v>0.1465579046314146</v>
      </c>
      <c r="L793" t="str">
        <f>TEXT(tblSales[[#This Row],[Order Date]],"mmm")</f>
        <v>Jun</v>
      </c>
      <c r="M793">
        <f>YEAR(tblSales[[#This Row],[Order Date]])</f>
        <v>2024</v>
      </c>
    </row>
    <row r="794" spans="1:13">
      <c r="A794" t="s">
        <v>1522</v>
      </c>
      <c r="B794" s="1">
        <v>45456</v>
      </c>
      <c r="C794" t="s">
        <v>14</v>
      </c>
      <c r="D794" t="s">
        <v>40</v>
      </c>
      <c r="E794" t="s">
        <v>41</v>
      </c>
      <c r="F794" t="s">
        <v>1523</v>
      </c>
      <c r="G794">
        <v>387.04</v>
      </c>
      <c r="H794">
        <v>2</v>
      </c>
      <c r="I794">
        <v>60.46</v>
      </c>
      <c r="J794" t="s">
        <v>18</v>
      </c>
      <c r="K794" s="6">
        <f>tblSales[[#This Row],[Profit]]/tblSales[[#This Row],[Sales]]</f>
        <v>0.15621124431583297</v>
      </c>
      <c r="L794" t="str">
        <f>TEXT(tblSales[[#This Row],[Order Date]],"mmm")</f>
        <v>Jun</v>
      </c>
      <c r="M794">
        <f>YEAR(tblSales[[#This Row],[Order Date]])</f>
        <v>2024</v>
      </c>
    </row>
    <row r="795" spans="1:13">
      <c r="A795" t="s">
        <v>1524</v>
      </c>
      <c r="B795" s="1">
        <v>45457</v>
      </c>
      <c r="C795" t="s">
        <v>20</v>
      </c>
      <c r="D795" t="s">
        <v>26</v>
      </c>
      <c r="E795" t="s">
        <v>34</v>
      </c>
      <c r="F795" t="s">
        <v>1525</v>
      </c>
      <c r="G795">
        <v>1023.98</v>
      </c>
      <c r="H795">
        <v>1</v>
      </c>
      <c r="I795">
        <v>200.87</v>
      </c>
      <c r="J795" t="s">
        <v>24</v>
      </c>
      <c r="K795" s="6">
        <f>tblSales[[#This Row],[Profit]]/tblSales[[#This Row],[Sales]]</f>
        <v>0.19616594074103011</v>
      </c>
      <c r="L795" t="str">
        <f>TEXT(tblSales[[#This Row],[Order Date]],"mmm")</f>
        <v>Jun</v>
      </c>
      <c r="M795">
        <f>YEAR(tblSales[[#This Row],[Order Date]])</f>
        <v>2024</v>
      </c>
    </row>
    <row r="796" spans="1:13">
      <c r="A796" t="s">
        <v>1526</v>
      </c>
      <c r="B796" s="1">
        <v>45458</v>
      </c>
      <c r="C796" t="s">
        <v>14</v>
      </c>
      <c r="D796" t="s">
        <v>73</v>
      </c>
      <c r="E796" t="s">
        <v>84</v>
      </c>
      <c r="F796" t="s">
        <v>1527</v>
      </c>
      <c r="G796">
        <v>898.84</v>
      </c>
      <c r="H796">
        <v>7</v>
      </c>
      <c r="I796">
        <v>193.14</v>
      </c>
      <c r="J796" t="s">
        <v>29</v>
      </c>
      <c r="K796" s="6">
        <f>tblSales[[#This Row],[Profit]]/tblSales[[#This Row],[Sales]]</f>
        <v>0.2148769525165769</v>
      </c>
      <c r="L796" t="str">
        <f>TEXT(tblSales[[#This Row],[Order Date]],"mmm")</f>
        <v>Jun</v>
      </c>
      <c r="M796">
        <f>YEAR(tblSales[[#This Row],[Order Date]])</f>
        <v>2024</v>
      </c>
    </row>
    <row r="797" spans="1:13">
      <c r="A797" t="s">
        <v>1528</v>
      </c>
      <c r="B797" s="1">
        <v>45459</v>
      </c>
      <c r="C797" t="s">
        <v>20</v>
      </c>
      <c r="D797" t="s">
        <v>21</v>
      </c>
      <c r="E797" t="s">
        <v>22</v>
      </c>
      <c r="F797" t="s">
        <v>1529</v>
      </c>
      <c r="G797">
        <v>1107.7</v>
      </c>
      <c r="H797">
        <v>9</v>
      </c>
      <c r="I797">
        <v>128.51</v>
      </c>
      <c r="J797" t="s">
        <v>29</v>
      </c>
      <c r="K797" s="6">
        <f>tblSales[[#This Row],[Profit]]/tblSales[[#This Row],[Sales]]</f>
        <v>0.11601516656134331</v>
      </c>
      <c r="L797" t="str">
        <f>TEXT(tblSales[[#This Row],[Order Date]],"mmm")</f>
        <v>Jun</v>
      </c>
      <c r="M797">
        <f>YEAR(tblSales[[#This Row],[Order Date]])</f>
        <v>2024</v>
      </c>
    </row>
    <row r="798" spans="1:13">
      <c r="A798" t="s">
        <v>1530</v>
      </c>
      <c r="B798" s="1">
        <v>45460</v>
      </c>
      <c r="C798" t="s">
        <v>33</v>
      </c>
      <c r="D798" t="s">
        <v>73</v>
      </c>
      <c r="E798" t="s">
        <v>164</v>
      </c>
      <c r="F798" t="s">
        <v>1531</v>
      </c>
      <c r="G798">
        <v>1280.02</v>
      </c>
      <c r="H798">
        <v>1</v>
      </c>
      <c r="I798">
        <v>233.2</v>
      </c>
      <c r="J798" t="s">
        <v>24</v>
      </c>
      <c r="K798" s="6">
        <f>tblSales[[#This Row],[Profit]]/tblSales[[#This Row],[Sales]]</f>
        <v>0.18218465336479117</v>
      </c>
      <c r="L798" t="str">
        <f>TEXT(tblSales[[#This Row],[Order Date]],"mmm")</f>
        <v>Jun</v>
      </c>
      <c r="M798">
        <f>YEAR(tblSales[[#This Row],[Order Date]])</f>
        <v>2024</v>
      </c>
    </row>
    <row r="799" spans="1:13">
      <c r="A799" t="s">
        <v>1532</v>
      </c>
      <c r="B799" s="1">
        <v>45461</v>
      </c>
      <c r="C799" t="s">
        <v>33</v>
      </c>
      <c r="D799" t="s">
        <v>40</v>
      </c>
      <c r="E799" t="s">
        <v>92</v>
      </c>
      <c r="F799" t="s">
        <v>1533</v>
      </c>
      <c r="G799">
        <v>1395.39</v>
      </c>
      <c r="H799">
        <v>4</v>
      </c>
      <c r="I799">
        <v>357.14</v>
      </c>
      <c r="J799" t="s">
        <v>24</v>
      </c>
      <c r="K799" s="6">
        <f>tblSales[[#This Row],[Profit]]/tblSales[[#This Row],[Sales]]</f>
        <v>0.25594278302123419</v>
      </c>
      <c r="L799" t="str">
        <f>TEXT(tblSales[[#This Row],[Order Date]],"mmm")</f>
        <v>Jun</v>
      </c>
      <c r="M799">
        <f>YEAR(tblSales[[#This Row],[Order Date]])</f>
        <v>2024</v>
      </c>
    </row>
    <row r="800" spans="1:13">
      <c r="A800" t="s">
        <v>1534</v>
      </c>
      <c r="B800" s="1">
        <v>45462</v>
      </c>
      <c r="C800" t="s">
        <v>14</v>
      </c>
      <c r="D800" t="s">
        <v>40</v>
      </c>
      <c r="E800" t="s">
        <v>44</v>
      </c>
      <c r="F800" t="s">
        <v>1535</v>
      </c>
      <c r="G800">
        <v>1633.58</v>
      </c>
      <c r="H800">
        <v>4</v>
      </c>
      <c r="I800">
        <v>270.16000000000003</v>
      </c>
      <c r="J800" t="s">
        <v>29</v>
      </c>
      <c r="K800" s="6">
        <f>tblSales[[#This Row],[Profit]]/tblSales[[#This Row],[Sales]]</f>
        <v>0.16537910601256139</v>
      </c>
      <c r="L800" t="str">
        <f>TEXT(tblSales[[#This Row],[Order Date]],"mmm")</f>
        <v>Jun</v>
      </c>
      <c r="M800">
        <f>YEAR(tblSales[[#This Row],[Order Date]])</f>
        <v>2024</v>
      </c>
    </row>
    <row r="801" spans="1:13">
      <c r="A801" t="s">
        <v>1536</v>
      </c>
      <c r="B801" s="1">
        <v>45463</v>
      </c>
      <c r="C801" t="s">
        <v>14</v>
      </c>
      <c r="D801" t="s">
        <v>21</v>
      </c>
      <c r="E801" t="s">
        <v>22</v>
      </c>
      <c r="F801" t="s">
        <v>1537</v>
      </c>
      <c r="G801">
        <v>1500.72</v>
      </c>
      <c r="H801">
        <v>1</v>
      </c>
      <c r="I801">
        <v>237.24</v>
      </c>
      <c r="J801" t="s">
        <v>18</v>
      </c>
      <c r="K801" s="6">
        <f>tblSales[[#This Row],[Profit]]/tblSales[[#This Row],[Sales]]</f>
        <v>0.15808411962258118</v>
      </c>
      <c r="L801" t="str">
        <f>TEXT(tblSales[[#This Row],[Order Date]],"mmm")</f>
        <v>Jun</v>
      </c>
      <c r="M801">
        <f>YEAR(tblSales[[#This Row],[Order Date]])</f>
        <v>2024</v>
      </c>
    </row>
    <row r="802" spans="1:13">
      <c r="A802" t="s">
        <v>1538</v>
      </c>
      <c r="B802" s="1">
        <v>45464</v>
      </c>
      <c r="C802" t="s">
        <v>39</v>
      </c>
      <c r="D802" t="s">
        <v>40</v>
      </c>
      <c r="E802" t="s">
        <v>92</v>
      </c>
      <c r="F802" t="s">
        <v>1539</v>
      </c>
      <c r="G802">
        <v>542.73</v>
      </c>
      <c r="H802">
        <v>5</v>
      </c>
      <c r="I802">
        <v>147.69</v>
      </c>
      <c r="J802" t="s">
        <v>18</v>
      </c>
      <c r="K802" s="6">
        <f>tblSales[[#This Row],[Profit]]/tblSales[[#This Row],[Sales]]</f>
        <v>0.2721242606821071</v>
      </c>
      <c r="L802" t="str">
        <f>TEXT(tblSales[[#This Row],[Order Date]],"mmm")</f>
        <v>Jun</v>
      </c>
      <c r="M802">
        <f>YEAR(tblSales[[#This Row],[Order Date]])</f>
        <v>2024</v>
      </c>
    </row>
    <row r="803" spans="1:13">
      <c r="A803" t="s">
        <v>1540</v>
      </c>
      <c r="B803" s="1">
        <v>45465</v>
      </c>
      <c r="C803" t="s">
        <v>39</v>
      </c>
      <c r="D803" t="s">
        <v>21</v>
      </c>
      <c r="E803" t="s">
        <v>22</v>
      </c>
      <c r="F803" t="s">
        <v>1541</v>
      </c>
      <c r="G803">
        <v>1267.48</v>
      </c>
      <c r="H803">
        <v>2</v>
      </c>
      <c r="I803">
        <v>311.73</v>
      </c>
      <c r="J803" t="s">
        <v>18</v>
      </c>
      <c r="K803" s="6">
        <f>tblSales[[#This Row],[Profit]]/tblSales[[#This Row],[Sales]]</f>
        <v>0.24594470918673275</v>
      </c>
      <c r="L803" t="str">
        <f>TEXT(tblSales[[#This Row],[Order Date]],"mmm")</f>
        <v>Jun</v>
      </c>
      <c r="M803">
        <f>YEAR(tblSales[[#This Row],[Order Date]])</f>
        <v>2024</v>
      </c>
    </row>
    <row r="804" spans="1:13">
      <c r="A804" t="s">
        <v>1542</v>
      </c>
      <c r="B804" s="1">
        <v>45466</v>
      </c>
      <c r="C804" t="s">
        <v>20</v>
      </c>
      <c r="D804" t="s">
        <v>73</v>
      </c>
      <c r="E804" t="s">
        <v>74</v>
      </c>
      <c r="F804" t="s">
        <v>1543</v>
      </c>
      <c r="G804">
        <v>418.11</v>
      </c>
      <c r="H804">
        <v>8</v>
      </c>
      <c r="I804">
        <v>54.91</v>
      </c>
      <c r="J804" t="s">
        <v>24</v>
      </c>
      <c r="K804" s="6">
        <f>tblSales[[#This Row],[Profit]]/tblSales[[#This Row],[Sales]]</f>
        <v>0.1313290760804573</v>
      </c>
      <c r="L804" t="str">
        <f>TEXT(tblSales[[#This Row],[Order Date]],"mmm")</f>
        <v>Jun</v>
      </c>
      <c r="M804">
        <f>YEAR(tblSales[[#This Row],[Order Date]])</f>
        <v>2024</v>
      </c>
    </row>
    <row r="805" spans="1:13">
      <c r="A805" t="s">
        <v>1544</v>
      </c>
      <c r="B805" s="1">
        <v>45467</v>
      </c>
      <c r="C805" t="s">
        <v>39</v>
      </c>
      <c r="D805" t="s">
        <v>73</v>
      </c>
      <c r="E805" t="s">
        <v>84</v>
      </c>
      <c r="F805" t="s">
        <v>1545</v>
      </c>
      <c r="G805">
        <v>1340.21</v>
      </c>
      <c r="H805">
        <v>2</v>
      </c>
      <c r="I805">
        <v>350.09</v>
      </c>
      <c r="J805" t="s">
        <v>18</v>
      </c>
      <c r="K805" s="6">
        <f>tblSales[[#This Row],[Profit]]/tblSales[[#This Row],[Sales]]</f>
        <v>0.26122025652696218</v>
      </c>
      <c r="L805" t="str">
        <f>TEXT(tblSales[[#This Row],[Order Date]],"mmm")</f>
        <v>Jun</v>
      </c>
      <c r="M805">
        <f>YEAR(tblSales[[#This Row],[Order Date]])</f>
        <v>2024</v>
      </c>
    </row>
    <row r="806" spans="1:13">
      <c r="A806" t="s">
        <v>1546</v>
      </c>
      <c r="B806" s="1">
        <v>45468</v>
      </c>
      <c r="C806" t="s">
        <v>14</v>
      </c>
      <c r="D806" t="s">
        <v>21</v>
      </c>
      <c r="E806" t="s">
        <v>57</v>
      </c>
      <c r="F806" t="s">
        <v>146</v>
      </c>
      <c r="G806">
        <v>1419.54</v>
      </c>
      <c r="H806">
        <v>6</v>
      </c>
      <c r="I806">
        <v>104.66</v>
      </c>
      <c r="J806" t="s">
        <v>24</v>
      </c>
      <c r="K806" s="6">
        <f>tblSales[[#This Row],[Profit]]/tblSales[[#This Row],[Sales]]</f>
        <v>7.3728109105766659E-2</v>
      </c>
      <c r="L806" t="str">
        <f>TEXT(tblSales[[#This Row],[Order Date]],"mmm")</f>
        <v>Jun</v>
      </c>
      <c r="M806">
        <f>YEAR(tblSales[[#This Row],[Order Date]])</f>
        <v>2024</v>
      </c>
    </row>
    <row r="807" spans="1:13">
      <c r="A807" t="s">
        <v>1547</v>
      </c>
      <c r="B807" s="1">
        <v>45469</v>
      </c>
      <c r="C807" t="s">
        <v>33</v>
      </c>
      <c r="D807" t="s">
        <v>21</v>
      </c>
      <c r="E807" t="s">
        <v>89</v>
      </c>
      <c r="F807" t="s">
        <v>1548</v>
      </c>
      <c r="G807">
        <v>666.75</v>
      </c>
      <c r="H807">
        <v>3</v>
      </c>
      <c r="I807">
        <v>199.63</v>
      </c>
      <c r="J807" t="s">
        <v>29</v>
      </c>
      <c r="K807" s="6">
        <f>tblSales[[#This Row],[Profit]]/tblSales[[#This Row],[Sales]]</f>
        <v>0.29940757405324336</v>
      </c>
      <c r="L807" t="str">
        <f>TEXT(tblSales[[#This Row],[Order Date]],"mmm")</f>
        <v>Jun</v>
      </c>
      <c r="M807">
        <f>YEAR(tblSales[[#This Row],[Order Date]])</f>
        <v>2024</v>
      </c>
    </row>
    <row r="808" spans="1:13">
      <c r="A808" t="s">
        <v>1549</v>
      </c>
      <c r="B808" s="1">
        <v>45470</v>
      </c>
      <c r="C808" t="s">
        <v>20</v>
      </c>
      <c r="D808" t="s">
        <v>26</v>
      </c>
      <c r="E808" t="s">
        <v>27</v>
      </c>
      <c r="F808" t="s">
        <v>1550</v>
      </c>
      <c r="G808">
        <v>99.89</v>
      </c>
      <c r="H808">
        <v>1</v>
      </c>
      <c r="I808">
        <v>29</v>
      </c>
      <c r="J808" t="s">
        <v>29</v>
      </c>
      <c r="K808" s="6">
        <f>tblSales[[#This Row],[Profit]]/tblSales[[#This Row],[Sales]]</f>
        <v>0.29031935128641506</v>
      </c>
      <c r="L808" t="str">
        <f>TEXT(tblSales[[#This Row],[Order Date]],"mmm")</f>
        <v>Jun</v>
      </c>
      <c r="M808">
        <f>YEAR(tblSales[[#This Row],[Order Date]])</f>
        <v>2024</v>
      </c>
    </row>
    <row r="809" spans="1:13">
      <c r="A809" t="s">
        <v>1551</v>
      </c>
      <c r="B809" s="1">
        <v>45471</v>
      </c>
      <c r="C809" t="s">
        <v>33</v>
      </c>
      <c r="D809" t="s">
        <v>73</v>
      </c>
      <c r="E809" t="s">
        <v>84</v>
      </c>
      <c r="F809" t="s">
        <v>1552</v>
      </c>
      <c r="G809">
        <v>1701.37</v>
      </c>
      <c r="H809">
        <v>6</v>
      </c>
      <c r="I809">
        <v>325.89</v>
      </c>
      <c r="J809" t="s">
        <v>29</v>
      </c>
      <c r="K809" s="6">
        <f>tblSales[[#This Row],[Profit]]/tblSales[[#This Row],[Sales]]</f>
        <v>0.19154563675155903</v>
      </c>
      <c r="L809" t="str">
        <f>TEXT(tblSales[[#This Row],[Order Date]],"mmm")</f>
        <v>Jun</v>
      </c>
      <c r="M809">
        <f>YEAR(tblSales[[#This Row],[Order Date]])</f>
        <v>2024</v>
      </c>
    </row>
    <row r="810" spans="1:13">
      <c r="A810" t="s">
        <v>1553</v>
      </c>
      <c r="B810" s="1">
        <v>45472</v>
      </c>
      <c r="C810" t="s">
        <v>39</v>
      </c>
      <c r="D810" t="s">
        <v>21</v>
      </c>
      <c r="E810" t="s">
        <v>22</v>
      </c>
      <c r="F810" t="s">
        <v>1554</v>
      </c>
      <c r="G810">
        <v>638.15</v>
      </c>
      <c r="H810">
        <v>6</v>
      </c>
      <c r="I810">
        <v>34.200000000000003</v>
      </c>
      <c r="J810" t="s">
        <v>24</v>
      </c>
      <c r="K810" s="6">
        <f>tblSales[[#This Row],[Profit]]/tblSales[[#This Row],[Sales]]</f>
        <v>5.3592415576275178E-2</v>
      </c>
      <c r="L810" t="str">
        <f>TEXT(tblSales[[#This Row],[Order Date]],"mmm")</f>
        <v>Jun</v>
      </c>
      <c r="M810">
        <f>YEAR(tblSales[[#This Row],[Order Date]])</f>
        <v>2024</v>
      </c>
    </row>
    <row r="811" spans="1:13">
      <c r="A811" t="s">
        <v>1555</v>
      </c>
      <c r="B811" s="1">
        <v>45473</v>
      </c>
      <c r="C811" t="s">
        <v>20</v>
      </c>
      <c r="D811" t="s">
        <v>15</v>
      </c>
      <c r="E811" t="s">
        <v>60</v>
      </c>
      <c r="F811" t="s">
        <v>1556</v>
      </c>
      <c r="G811">
        <v>1255.01</v>
      </c>
      <c r="H811">
        <v>4</v>
      </c>
      <c r="I811">
        <v>74.97</v>
      </c>
      <c r="J811" t="s">
        <v>24</v>
      </c>
      <c r="K811" s="6">
        <f>tblSales[[#This Row],[Profit]]/tblSales[[#This Row],[Sales]]</f>
        <v>5.9736575804176857E-2</v>
      </c>
      <c r="L811" t="str">
        <f>TEXT(tblSales[[#This Row],[Order Date]],"mmm")</f>
        <v>Jun</v>
      </c>
      <c r="M811">
        <f>YEAR(tblSales[[#This Row],[Order Date]])</f>
        <v>2024</v>
      </c>
    </row>
    <row r="812" spans="1:13">
      <c r="A812" t="s">
        <v>1557</v>
      </c>
      <c r="B812" s="1">
        <v>45474</v>
      </c>
      <c r="C812" t="s">
        <v>20</v>
      </c>
      <c r="D812" t="s">
        <v>73</v>
      </c>
      <c r="E812" t="s">
        <v>84</v>
      </c>
      <c r="F812" t="s">
        <v>1558</v>
      </c>
      <c r="G812">
        <v>1135.52</v>
      </c>
      <c r="H812">
        <v>5</v>
      </c>
      <c r="I812">
        <v>302.17</v>
      </c>
      <c r="J812" t="s">
        <v>29</v>
      </c>
      <c r="K812" s="6">
        <f>tblSales[[#This Row],[Profit]]/tblSales[[#This Row],[Sales]]</f>
        <v>0.26610715795406514</v>
      </c>
      <c r="L812" t="str">
        <f>TEXT(tblSales[[#This Row],[Order Date]],"mmm")</f>
        <v>Jul</v>
      </c>
      <c r="M812">
        <f>YEAR(tblSales[[#This Row],[Order Date]])</f>
        <v>2024</v>
      </c>
    </row>
    <row r="813" spans="1:13">
      <c r="A813" t="s">
        <v>1559</v>
      </c>
      <c r="B813" s="1">
        <v>45475</v>
      </c>
      <c r="C813" t="s">
        <v>14</v>
      </c>
      <c r="D813" t="s">
        <v>73</v>
      </c>
      <c r="E813" t="s">
        <v>74</v>
      </c>
      <c r="F813" t="s">
        <v>716</v>
      </c>
      <c r="G813">
        <v>1170.28</v>
      </c>
      <c r="H813">
        <v>3</v>
      </c>
      <c r="I813">
        <v>187.92</v>
      </c>
      <c r="J813" t="s">
        <v>24</v>
      </c>
      <c r="K813" s="6">
        <f>tblSales[[#This Row],[Profit]]/tblSales[[#This Row],[Sales]]</f>
        <v>0.16057695594216767</v>
      </c>
      <c r="L813" t="str">
        <f>TEXT(tblSales[[#This Row],[Order Date]],"mmm")</f>
        <v>Jul</v>
      </c>
      <c r="M813">
        <f>YEAR(tblSales[[#This Row],[Order Date]])</f>
        <v>2024</v>
      </c>
    </row>
    <row r="814" spans="1:13">
      <c r="A814" t="s">
        <v>1560</v>
      </c>
      <c r="B814" s="1">
        <v>45476</v>
      </c>
      <c r="C814" t="s">
        <v>14</v>
      </c>
      <c r="D814" t="s">
        <v>26</v>
      </c>
      <c r="E814" t="s">
        <v>49</v>
      </c>
      <c r="F814" t="s">
        <v>1561</v>
      </c>
      <c r="G814">
        <v>790.68</v>
      </c>
      <c r="H814">
        <v>4</v>
      </c>
      <c r="I814">
        <v>152.1</v>
      </c>
      <c r="J814" t="s">
        <v>18</v>
      </c>
      <c r="K814" s="6">
        <f>tblSales[[#This Row],[Profit]]/tblSales[[#This Row],[Sales]]</f>
        <v>0.19236606465320991</v>
      </c>
      <c r="L814" t="str">
        <f>TEXT(tblSales[[#This Row],[Order Date]],"mmm")</f>
        <v>Jul</v>
      </c>
      <c r="M814">
        <f>YEAR(tblSales[[#This Row],[Order Date]])</f>
        <v>2024</v>
      </c>
    </row>
    <row r="815" spans="1:13">
      <c r="A815" t="s">
        <v>1562</v>
      </c>
      <c r="B815" s="1">
        <v>45477</v>
      </c>
      <c r="C815" t="s">
        <v>14</v>
      </c>
      <c r="D815" t="s">
        <v>40</v>
      </c>
      <c r="E815" t="s">
        <v>92</v>
      </c>
      <c r="F815" t="s">
        <v>1563</v>
      </c>
      <c r="G815">
        <v>755.54</v>
      </c>
      <c r="H815">
        <v>5</v>
      </c>
      <c r="I815">
        <v>157.35</v>
      </c>
      <c r="J815" t="s">
        <v>24</v>
      </c>
      <c r="K815" s="6">
        <f>tblSales[[#This Row],[Profit]]/tblSales[[#This Row],[Sales]]</f>
        <v>0.20826164068083755</v>
      </c>
      <c r="L815" t="str">
        <f>TEXT(tblSales[[#This Row],[Order Date]],"mmm")</f>
        <v>Jul</v>
      </c>
      <c r="M815">
        <f>YEAR(tblSales[[#This Row],[Order Date]])</f>
        <v>2024</v>
      </c>
    </row>
    <row r="816" spans="1:13">
      <c r="A816" t="s">
        <v>1564</v>
      </c>
      <c r="B816" s="1">
        <v>45478</v>
      </c>
      <c r="C816" t="s">
        <v>14</v>
      </c>
      <c r="D816" t="s">
        <v>40</v>
      </c>
      <c r="E816" t="s">
        <v>92</v>
      </c>
      <c r="F816" t="s">
        <v>1533</v>
      </c>
      <c r="G816">
        <v>1962.61</v>
      </c>
      <c r="H816">
        <v>4</v>
      </c>
      <c r="I816">
        <v>520.6</v>
      </c>
      <c r="J816" t="s">
        <v>24</v>
      </c>
      <c r="K816" s="6">
        <f>tblSales[[#This Row],[Profit]]/tblSales[[#This Row],[Sales]]</f>
        <v>0.26525901732896501</v>
      </c>
      <c r="L816" t="str">
        <f>TEXT(tblSales[[#This Row],[Order Date]],"mmm")</f>
        <v>Jul</v>
      </c>
      <c r="M816">
        <f>YEAR(tblSales[[#This Row],[Order Date]])</f>
        <v>2024</v>
      </c>
    </row>
    <row r="817" spans="1:13">
      <c r="A817" t="s">
        <v>1565</v>
      </c>
      <c r="B817" s="1">
        <v>45479</v>
      </c>
      <c r="C817" t="s">
        <v>20</v>
      </c>
      <c r="D817" t="s">
        <v>26</v>
      </c>
      <c r="E817" t="s">
        <v>27</v>
      </c>
      <c r="F817" t="s">
        <v>1071</v>
      </c>
      <c r="G817">
        <v>1194.45</v>
      </c>
      <c r="H817">
        <v>2</v>
      </c>
      <c r="I817">
        <v>167.95</v>
      </c>
      <c r="J817" t="s">
        <v>24</v>
      </c>
      <c r="K817" s="6">
        <f>tblSales[[#This Row],[Profit]]/tblSales[[#This Row],[Sales]]</f>
        <v>0.1406086483318682</v>
      </c>
      <c r="L817" t="str">
        <f>TEXT(tblSales[[#This Row],[Order Date]],"mmm")</f>
        <v>Jul</v>
      </c>
      <c r="M817">
        <f>YEAR(tblSales[[#This Row],[Order Date]])</f>
        <v>2024</v>
      </c>
    </row>
    <row r="818" spans="1:13">
      <c r="A818" t="s">
        <v>1566</v>
      </c>
      <c r="B818" s="1">
        <v>45480</v>
      </c>
      <c r="C818" t="s">
        <v>33</v>
      </c>
      <c r="D818" t="s">
        <v>15</v>
      </c>
      <c r="E818" t="s">
        <v>60</v>
      </c>
      <c r="F818" t="s">
        <v>957</v>
      </c>
      <c r="G818">
        <v>1884.55</v>
      </c>
      <c r="H818">
        <v>5</v>
      </c>
      <c r="I818">
        <v>391.82</v>
      </c>
      <c r="J818" t="s">
        <v>24</v>
      </c>
      <c r="K818" s="6">
        <f>tblSales[[#This Row],[Profit]]/tblSales[[#This Row],[Sales]]</f>
        <v>0.20791170305908571</v>
      </c>
      <c r="L818" t="str">
        <f>TEXT(tblSales[[#This Row],[Order Date]],"mmm")</f>
        <v>Jul</v>
      </c>
      <c r="M818">
        <f>YEAR(tblSales[[#This Row],[Order Date]])</f>
        <v>2024</v>
      </c>
    </row>
    <row r="819" spans="1:13">
      <c r="A819" t="s">
        <v>1567</v>
      </c>
      <c r="B819" s="1">
        <v>45481</v>
      </c>
      <c r="C819" t="s">
        <v>33</v>
      </c>
      <c r="D819" t="s">
        <v>15</v>
      </c>
      <c r="E819" t="s">
        <v>52</v>
      </c>
      <c r="F819" t="s">
        <v>342</v>
      </c>
      <c r="G819">
        <v>1295.6300000000001</v>
      </c>
      <c r="H819">
        <v>9</v>
      </c>
      <c r="I819">
        <v>274.88</v>
      </c>
      <c r="J819" t="s">
        <v>18</v>
      </c>
      <c r="K819" s="6">
        <f>tblSales[[#This Row],[Profit]]/tblSales[[#This Row],[Sales]]</f>
        <v>0.21215933561279066</v>
      </c>
      <c r="L819" t="str">
        <f>TEXT(tblSales[[#This Row],[Order Date]],"mmm")</f>
        <v>Jul</v>
      </c>
      <c r="M819">
        <f>YEAR(tblSales[[#This Row],[Order Date]])</f>
        <v>2024</v>
      </c>
    </row>
    <row r="820" spans="1:13">
      <c r="A820" t="s">
        <v>1568</v>
      </c>
      <c r="B820" s="1">
        <v>45482</v>
      </c>
      <c r="C820" t="s">
        <v>14</v>
      </c>
      <c r="D820" t="s">
        <v>15</v>
      </c>
      <c r="E820" t="s">
        <v>60</v>
      </c>
      <c r="F820" t="s">
        <v>1569</v>
      </c>
      <c r="G820">
        <v>329.29</v>
      </c>
      <c r="H820">
        <v>7</v>
      </c>
      <c r="I820">
        <v>65.8</v>
      </c>
      <c r="J820" t="s">
        <v>18</v>
      </c>
      <c r="K820" s="6">
        <f>tblSales[[#This Row],[Profit]]/tblSales[[#This Row],[Sales]]</f>
        <v>0.19982386346381606</v>
      </c>
      <c r="L820" t="str">
        <f>TEXT(tblSales[[#This Row],[Order Date]],"mmm")</f>
        <v>Jul</v>
      </c>
      <c r="M820">
        <f>YEAR(tblSales[[#This Row],[Order Date]])</f>
        <v>2024</v>
      </c>
    </row>
    <row r="821" spans="1:13">
      <c r="A821" t="s">
        <v>1570</v>
      </c>
      <c r="B821" s="1">
        <v>45483</v>
      </c>
      <c r="C821" t="s">
        <v>33</v>
      </c>
      <c r="D821" t="s">
        <v>40</v>
      </c>
      <c r="E821" t="s">
        <v>44</v>
      </c>
      <c r="F821" t="s">
        <v>1571</v>
      </c>
      <c r="G821">
        <v>1416.18</v>
      </c>
      <c r="H821">
        <v>6</v>
      </c>
      <c r="I821">
        <v>276.06</v>
      </c>
      <c r="J821" t="s">
        <v>18</v>
      </c>
      <c r="K821" s="6">
        <f>tblSales[[#This Row],[Profit]]/tblSales[[#This Row],[Sales]]</f>
        <v>0.19493284751938311</v>
      </c>
      <c r="L821" t="str">
        <f>TEXT(tblSales[[#This Row],[Order Date]],"mmm")</f>
        <v>Jul</v>
      </c>
      <c r="M821">
        <f>YEAR(tblSales[[#This Row],[Order Date]])</f>
        <v>2024</v>
      </c>
    </row>
    <row r="822" spans="1:13">
      <c r="A822" t="s">
        <v>1572</v>
      </c>
      <c r="B822" s="1">
        <v>45484</v>
      </c>
      <c r="C822" t="s">
        <v>14</v>
      </c>
      <c r="D822" t="s">
        <v>40</v>
      </c>
      <c r="E822" t="s">
        <v>41</v>
      </c>
      <c r="F822" t="s">
        <v>1573</v>
      </c>
      <c r="G822">
        <v>1898.51</v>
      </c>
      <c r="H822">
        <v>2</v>
      </c>
      <c r="I822">
        <v>104.01</v>
      </c>
      <c r="J822" t="s">
        <v>29</v>
      </c>
      <c r="K822" s="6">
        <f>tblSales[[#This Row],[Profit]]/tblSales[[#This Row],[Sales]]</f>
        <v>5.4785068290396158E-2</v>
      </c>
      <c r="L822" t="str">
        <f>TEXT(tblSales[[#This Row],[Order Date]],"mmm")</f>
        <v>Jul</v>
      </c>
      <c r="M822">
        <f>YEAR(tblSales[[#This Row],[Order Date]])</f>
        <v>2024</v>
      </c>
    </row>
    <row r="823" spans="1:13">
      <c r="A823" t="s">
        <v>1574</v>
      </c>
      <c r="B823" s="1">
        <v>45485</v>
      </c>
      <c r="C823" t="s">
        <v>33</v>
      </c>
      <c r="D823" t="s">
        <v>15</v>
      </c>
      <c r="E823" t="s">
        <v>79</v>
      </c>
      <c r="F823" t="s">
        <v>1096</v>
      </c>
      <c r="G823">
        <v>1227.2</v>
      </c>
      <c r="H823">
        <v>8</v>
      </c>
      <c r="I823">
        <v>307.66000000000003</v>
      </c>
      <c r="J823" t="s">
        <v>18</v>
      </c>
      <c r="K823" s="6">
        <f>tblSales[[#This Row],[Profit]]/tblSales[[#This Row],[Sales]]</f>
        <v>0.25070078226857889</v>
      </c>
      <c r="L823" t="str">
        <f>TEXT(tblSales[[#This Row],[Order Date]],"mmm")</f>
        <v>Jul</v>
      </c>
      <c r="M823">
        <f>YEAR(tblSales[[#This Row],[Order Date]])</f>
        <v>2024</v>
      </c>
    </row>
    <row r="824" spans="1:13">
      <c r="A824" t="s">
        <v>1575</v>
      </c>
      <c r="B824" s="1">
        <v>45486</v>
      </c>
      <c r="C824" t="s">
        <v>14</v>
      </c>
      <c r="D824" t="s">
        <v>73</v>
      </c>
      <c r="E824" t="s">
        <v>84</v>
      </c>
      <c r="F824" t="s">
        <v>134</v>
      </c>
      <c r="G824">
        <v>1081.1500000000001</v>
      </c>
      <c r="H824">
        <v>8</v>
      </c>
      <c r="I824">
        <v>311.79000000000002</v>
      </c>
      <c r="J824" t="s">
        <v>24</v>
      </c>
      <c r="K824" s="6">
        <f>tblSales[[#This Row],[Profit]]/tblSales[[#This Row],[Sales]]</f>
        <v>0.28838736530546177</v>
      </c>
      <c r="L824" t="str">
        <f>TEXT(tblSales[[#This Row],[Order Date]],"mmm")</f>
        <v>Jul</v>
      </c>
      <c r="M824">
        <f>YEAR(tblSales[[#This Row],[Order Date]])</f>
        <v>2024</v>
      </c>
    </row>
    <row r="825" spans="1:13">
      <c r="A825" t="s">
        <v>1576</v>
      </c>
      <c r="B825" s="1">
        <v>45487</v>
      </c>
      <c r="C825" t="s">
        <v>20</v>
      </c>
      <c r="D825" t="s">
        <v>21</v>
      </c>
      <c r="E825" t="s">
        <v>57</v>
      </c>
      <c r="F825" t="s">
        <v>1577</v>
      </c>
      <c r="G825">
        <v>1153.76</v>
      </c>
      <c r="H825">
        <v>6</v>
      </c>
      <c r="I825">
        <v>243.03</v>
      </c>
      <c r="J825" t="s">
        <v>18</v>
      </c>
      <c r="K825" s="6">
        <f>tblSales[[#This Row],[Profit]]/tblSales[[#This Row],[Sales]]</f>
        <v>0.21064172791568436</v>
      </c>
      <c r="L825" t="str">
        <f>TEXT(tblSales[[#This Row],[Order Date]],"mmm")</f>
        <v>Jul</v>
      </c>
      <c r="M825">
        <f>YEAR(tblSales[[#This Row],[Order Date]])</f>
        <v>2024</v>
      </c>
    </row>
    <row r="826" spans="1:13">
      <c r="A826" t="s">
        <v>1578</v>
      </c>
      <c r="B826" s="1">
        <v>45488</v>
      </c>
      <c r="C826" t="s">
        <v>39</v>
      </c>
      <c r="D826" t="s">
        <v>15</v>
      </c>
      <c r="E826" t="s">
        <v>60</v>
      </c>
      <c r="F826" t="s">
        <v>1579</v>
      </c>
      <c r="G826">
        <v>1486.32</v>
      </c>
      <c r="H826">
        <v>8</v>
      </c>
      <c r="I826">
        <v>295.07</v>
      </c>
      <c r="J826" t="s">
        <v>18</v>
      </c>
      <c r="K826" s="6">
        <f>tblSales[[#This Row],[Profit]]/tblSales[[#This Row],[Sales]]</f>
        <v>0.19852387103719255</v>
      </c>
      <c r="L826" t="str">
        <f>TEXT(tblSales[[#This Row],[Order Date]],"mmm")</f>
        <v>Jul</v>
      </c>
      <c r="M826">
        <f>YEAR(tblSales[[#This Row],[Order Date]])</f>
        <v>2024</v>
      </c>
    </row>
    <row r="827" spans="1:13">
      <c r="A827" t="s">
        <v>1580</v>
      </c>
      <c r="B827" s="1">
        <v>45489</v>
      </c>
      <c r="C827" t="s">
        <v>20</v>
      </c>
      <c r="D827" t="s">
        <v>73</v>
      </c>
      <c r="E827" t="s">
        <v>164</v>
      </c>
      <c r="F827" t="s">
        <v>1581</v>
      </c>
      <c r="G827">
        <v>151.72</v>
      </c>
      <c r="H827">
        <v>1</v>
      </c>
      <c r="I827">
        <v>30.6</v>
      </c>
      <c r="J827" t="s">
        <v>24</v>
      </c>
      <c r="K827" s="6">
        <f>tblSales[[#This Row],[Profit]]/tblSales[[#This Row],[Sales]]</f>
        <v>0.20168731874505669</v>
      </c>
      <c r="L827" t="str">
        <f>TEXT(tblSales[[#This Row],[Order Date]],"mmm")</f>
        <v>Jul</v>
      </c>
      <c r="M827">
        <f>YEAR(tblSales[[#This Row],[Order Date]])</f>
        <v>2024</v>
      </c>
    </row>
    <row r="828" spans="1:13">
      <c r="A828" t="s">
        <v>1582</v>
      </c>
      <c r="B828" s="1">
        <v>45490</v>
      </c>
      <c r="C828" t="s">
        <v>14</v>
      </c>
      <c r="D828" t="s">
        <v>26</v>
      </c>
      <c r="E828" t="s">
        <v>27</v>
      </c>
      <c r="F828" t="s">
        <v>1583</v>
      </c>
      <c r="G828">
        <v>1768.17</v>
      </c>
      <c r="H828">
        <v>7</v>
      </c>
      <c r="I828">
        <v>310.13</v>
      </c>
      <c r="J828" t="s">
        <v>29</v>
      </c>
      <c r="K828" s="6">
        <f>tblSales[[#This Row],[Profit]]/tblSales[[#This Row],[Sales]]</f>
        <v>0.17539603092462827</v>
      </c>
      <c r="L828" t="str">
        <f>TEXT(tblSales[[#This Row],[Order Date]],"mmm")</f>
        <v>Jul</v>
      </c>
      <c r="M828">
        <f>YEAR(tblSales[[#This Row],[Order Date]])</f>
        <v>2024</v>
      </c>
    </row>
    <row r="829" spans="1:13">
      <c r="A829" t="s">
        <v>1584</v>
      </c>
      <c r="B829" s="1">
        <v>45491</v>
      </c>
      <c r="C829" t="s">
        <v>14</v>
      </c>
      <c r="D829" t="s">
        <v>26</v>
      </c>
      <c r="E829" t="s">
        <v>27</v>
      </c>
      <c r="F829" t="s">
        <v>1585</v>
      </c>
      <c r="G829">
        <v>409.37</v>
      </c>
      <c r="H829">
        <v>5</v>
      </c>
      <c r="I829">
        <v>102.35</v>
      </c>
      <c r="J829" t="s">
        <v>29</v>
      </c>
      <c r="K829" s="6">
        <f>tblSales[[#This Row],[Profit]]/tblSales[[#This Row],[Sales]]</f>
        <v>0.25001832083445291</v>
      </c>
      <c r="L829" t="str">
        <f>TEXT(tblSales[[#This Row],[Order Date]],"mmm")</f>
        <v>Jul</v>
      </c>
      <c r="M829">
        <f>YEAR(tblSales[[#This Row],[Order Date]])</f>
        <v>2024</v>
      </c>
    </row>
    <row r="830" spans="1:13">
      <c r="A830" t="s">
        <v>1586</v>
      </c>
      <c r="B830" s="1">
        <v>45492</v>
      </c>
      <c r="C830" t="s">
        <v>33</v>
      </c>
      <c r="D830" t="s">
        <v>73</v>
      </c>
      <c r="E830" t="s">
        <v>84</v>
      </c>
      <c r="F830" t="s">
        <v>1587</v>
      </c>
      <c r="G830">
        <v>1994.53</v>
      </c>
      <c r="H830">
        <v>4</v>
      </c>
      <c r="I830">
        <v>207.54</v>
      </c>
      <c r="J830" t="s">
        <v>29</v>
      </c>
      <c r="K830" s="6">
        <f>tblSales[[#This Row],[Profit]]/tblSales[[#This Row],[Sales]]</f>
        <v>0.10405458930174026</v>
      </c>
      <c r="L830" t="str">
        <f>TEXT(tblSales[[#This Row],[Order Date]],"mmm")</f>
        <v>Jul</v>
      </c>
      <c r="M830">
        <f>YEAR(tblSales[[#This Row],[Order Date]])</f>
        <v>2024</v>
      </c>
    </row>
    <row r="831" spans="1:13">
      <c r="A831" t="s">
        <v>1588</v>
      </c>
      <c r="B831" s="1">
        <v>45493</v>
      </c>
      <c r="C831" t="s">
        <v>14</v>
      </c>
      <c r="D831" t="s">
        <v>15</v>
      </c>
      <c r="E831" t="s">
        <v>79</v>
      </c>
      <c r="F831" t="s">
        <v>759</v>
      </c>
      <c r="G831">
        <v>1245.5999999999999</v>
      </c>
      <c r="H831">
        <v>5</v>
      </c>
      <c r="I831">
        <v>81.709999999999994</v>
      </c>
      <c r="J831" t="s">
        <v>18</v>
      </c>
      <c r="K831" s="6">
        <f>tblSales[[#This Row],[Profit]]/tblSales[[#This Row],[Sales]]</f>
        <v>6.5598908156711627E-2</v>
      </c>
      <c r="L831" t="str">
        <f>TEXT(tblSales[[#This Row],[Order Date]],"mmm")</f>
        <v>Jul</v>
      </c>
      <c r="M831">
        <f>YEAR(tblSales[[#This Row],[Order Date]])</f>
        <v>2024</v>
      </c>
    </row>
    <row r="832" spans="1:13">
      <c r="A832" t="s">
        <v>1589</v>
      </c>
      <c r="B832" s="1">
        <v>45494</v>
      </c>
      <c r="C832" t="s">
        <v>14</v>
      </c>
      <c r="D832" t="s">
        <v>40</v>
      </c>
      <c r="E832" t="s">
        <v>44</v>
      </c>
      <c r="F832" t="s">
        <v>1590</v>
      </c>
      <c r="G832">
        <v>152.69</v>
      </c>
      <c r="H832">
        <v>7</v>
      </c>
      <c r="I832">
        <v>22.75</v>
      </c>
      <c r="J832" t="s">
        <v>29</v>
      </c>
      <c r="K832" s="6">
        <f>tblSales[[#This Row],[Profit]]/tblSales[[#This Row],[Sales]]</f>
        <v>0.14899469513393149</v>
      </c>
      <c r="L832" t="str">
        <f>TEXT(tblSales[[#This Row],[Order Date]],"mmm")</f>
        <v>Jul</v>
      </c>
      <c r="M832">
        <f>YEAR(tblSales[[#This Row],[Order Date]])</f>
        <v>2024</v>
      </c>
    </row>
    <row r="833" spans="1:13">
      <c r="A833" t="s">
        <v>1591</v>
      </c>
      <c r="B833" s="1">
        <v>45495</v>
      </c>
      <c r="C833" t="s">
        <v>20</v>
      </c>
      <c r="D833" t="s">
        <v>15</v>
      </c>
      <c r="E833" t="s">
        <v>52</v>
      </c>
      <c r="F833" t="s">
        <v>1592</v>
      </c>
      <c r="G833">
        <v>1877.17</v>
      </c>
      <c r="H833">
        <v>3</v>
      </c>
      <c r="I833">
        <v>352.85</v>
      </c>
      <c r="J833" t="s">
        <v>29</v>
      </c>
      <c r="K833" s="6">
        <f>tblSales[[#This Row],[Profit]]/tblSales[[#This Row],[Sales]]</f>
        <v>0.18796912373413172</v>
      </c>
      <c r="L833" t="str">
        <f>TEXT(tblSales[[#This Row],[Order Date]],"mmm")</f>
        <v>Jul</v>
      </c>
      <c r="M833">
        <f>YEAR(tblSales[[#This Row],[Order Date]])</f>
        <v>2024</v>
      </c>
    </row>
    <row r="834" spans="1:13">
      <c r="A834" t="s">
        <v>1593</v>
      </c>
      <c r="B834" s="1">
        <v>45496</v>
      </c>
      <c r="C834" t="s">
        <v>20</v>
      </c>
      <c r="D834" t="s">
        <v>26</v>
      </c>
      <c r="E834" t="s">
        <v>27</v>
      </c>
      <c r="F834" t="s">
        <v>1594</v>
      </c>
      <c r="G834">
        <v>844.11</v>
      </c>
      <c r="H834">
        <v>2</v>
      </c>
      <c r="I834">
        <v>142.43</v>
      </c>
      <c r="J834" t="s">
        <v>29</v>
      </c>
      <c r="K834" s="6">
        <f>tblSales[[#This Row],[Profit]]/tblSales[[#This Row],[Sales]]</f>
        <v>0.16873393278127258</v>
      </c>
      <c r="L834" t="str">
        <f>TEXT(tblSales[[#This Row],[Order Date]],"mmm")</f>
        <v>Jul</v>
      </c>
      <c r="M834">
        <f>YEAR(tblSales[[#This Row],[Order Date]])</f>
        <v>2024</v>
      </c>
    </row>
    <row r="835" spans="1:13">
      <c r="A835" t="s">
        <v>1595</v>
      </c>
      <c r="B835" s="1">
        <v>45497</v>
      </c>
      <c r="C835" t="s">
        <v>33</v>
      </c>
      <c r="D835" t="s">
        <v>40</v>
      </c>
      <c r="E835" t="s">
        <v>41</v>
      </c>
      <c r="F835" t="s">
        <v>1596</v>
      </c>
      <c r="G835">
        <v>1885.92</v>
      </c>
      <c r="H835">
        <v>4</v>
      </c>
      <c r="I835">
        <v>301.02</v>
      </c>
      <c r="J835" t="s">
        <v>29</v>
      </c>
      <c r="K835" s="6">
        <f>tblSales[[#This Row],[Profit]]/tblSales[[#This Row],[Sales]]</f>
        <v>0.15961440570119623</v>
      </c>
      <c r="L835" t="str">
        <f>TEXT(tblSales[[#This Row],[Order Date]],"mmm")</f>
        <v>Jul</v>
      </c>
      <c r="M835">
        <f>YEAR(tblSales[[#This Row],[Order Date]])</f>
        <v>2024</v>
      </c>
    </row>
    <row r="836" spans="1:13">
      <c r="A836" t="s">
        <v>1597</v>
      </c>
      <c r="B836" s="1">
        <v>45498</v>
      </c>
      <c r="C836" t="s">
        <v>20</v>
      </c>
      <c r="D836" t="s">
        <v>40</v>
      </c>
      <c r="E836" t="s">
        <v>92</v>
      </c>
      <c r="F836" t="s">
        <v>609</v>
      </c>
      <c r="G836">
        <v>1970.9</v>
      </c>
      <c r="H836">
        <v>9</v>
      </c>
      <c r="I836">
        <v>575.39</v>
      </c>
      <c r="J836" t="s">
        <v>24</v>
      </c>
      <c r="K836" s="6">
        <f>tblSales[[#This Row],[Profit]]/tblSales[[#This Row],[Sales]]</f>
        <v>0.29194276726368662</v>
      </c>
      <c r="L836" t="str">
        <f>TEXT(tblSales[[#This Row],[Order Date]],"mmm")</f>
        <v>Jul</v>
      </c>
      <c r="M836">
        <f>YEAR(tblSales[[#This Row],[Order Date]])</f>
        <v>2024</v>
      </c>
    </row>
    <row r="837" spans="1:13">
      <c r="A837" t="s">
        <v>1598</v>
      </c>
      <c r="B837" s="1">
        <v>45499</v>
      </c>
      <c r="C837" t="s">
        <v>20</v>
      </c>
      <c r="D837" t="s">
        <v>40</v>
      </c>
      <c r="E837" t="s">
        <v>44</v>
      </c>
      <c r="F837" t="s">
        <v>1599</v>
      </c>
      <c r="G837">
        <v>328.03</v>
      </c>
      <c r="H837">
        <v>8</v>
      </c>
      <c r="I837">
        <v>34.42</v>
      </c>
      <c r="J837" t="s">
        <v>24</v>
      </c>
      <c r="K837" s="6">
        <f>tblSales[[#This Row],[Profit]]/tblSales[[#This Row],[Sales]]</f>
        <v>0.10492942718653783</v>
      </c>
      <c r="L837" t="str">
        <f>TEXT(tblSales[[#This Row],[Order Date]],"mmm")</f>
        <v>Jul</v>
      </c>
      <c r="M837">
        <f>YEAR(tblSales[[#This Row],[Order Date]])</f>
        <v>2024</v>
      </c>
    </row>
    <row r="838" spans="1:13">
      <c r="A838" t="s">
        <v>1600</v>
      </c>
      <c r="B838" s="1">
        <v>45500</v>
      </c>
      <c r="C838" t="s">
        <v>20</v>
      </c>
      <c r="D838" t="s">
        <v>21</v>
      </c>
      <c r="E838" t="s">
        <v>57</v>
      </c>
      <c r="F838" t="s">
        <v>577</v>
      </c>
      <c r="G838">
        <v>1656.7</v>
      </c>
      <c r="H838">
        <v>1</v>
      </c>
      <c r="I838">
        <v>229.33</v>
      </c>
      <c r="J838" t="s">
        <v>24</v>
      </c>
      <c r="K838" s="6">
        <f>tblSales[[#This Row],[Profit]]/tblSales[[#This Row],[Sales]]</f>
        <v>0.13842578620148488</v>
      </c>
      <c r="L838" t="str">
        <f>TEXT(tblSales[[#This Row],[Order Date]],"mmm")</f>
        <v>Jul</v>
      </c>
      <c r="M838">
        <f>YEAR(tblSales[[#This Row],[Order Date]])</f>
        <v>2024</v>
      </c>
    </row>
    <row r="839" spans="1:13">
      <c r="A839" t="s">
        <v>1601</v>
      </c>
      <c r="B839" s="1">
        <v>45501</v>
      </c>
      <c r="C839" t="s">
        <v>14</v>
      </c>
      <c r="D839" t="s">
        <v>15</v>
      </c>
      <c r="E839" t="s">
        <v>52</v>
      </c>
      <c r="F839" t="s">
        <v>1602</v>
      </c>
      <c r="G839">
        <v>436.8</v>
      </c>
      <c r="H839">
        <v>6</v>
      </c>
      <c r="I839">
        <v>119.93</v>
      </c>
      <c r="J839" t="s">
        <v>18</v>
      </c>
      <c r="K839" s="6">
        <f>tblSales[[#This Row],[Profit]]/tblSales[[#This Row],[Sales]]</f>
        <v>0.27456501831501834</v>
      </c>
      <c r="L839" t="str">
        <f>TEXT(tblSales[[#This Row],[Order Date]],"mmm")</f>
        <v>Jul</v>
      </c>
      <c r="M839">
        <f>YEAR(tblSales[[#This Row],[Order Date]])</f>
        <v>2024</v>
      </c>
    </row>
    <row r="840" spans="1:13">
      <c r="A840" t="s">
        <v>1603</v>
      </c>
      <c r="B840" s="1">
        <v>45502</v>
      </c>
      <c r="C840" t="s">
        <v>14</v>
      </c>
      <c r="D840" t="s">
        <v>73</v>
      </c>
      <c r="E840" t="s">
        <v>74</v>
      </c>
      <c r="F840" t="s">
        <v>977</v>
      </c>
      <c r="G840">
        <v>171.43</v>
      </c>
      <c r="H840">
        <v>8</v>
      </c>
      <c r="I840">
        <v>15.21</v>
      </c>
      <c r="J840" t="s">
        <v>29</v>
      </c>
      <c r="K840" s="6">
        <f>tblSales[[#This Row],[Profit]]/tblSales[[#This Row],[Sales]]</f>
        <v>8.8724260631161414E-2</v>
      </c>
      <c r="L840" t="str">
        <f>TEXT(tblSales[[#This Row],[Order Date]],"mmm")</f>
        <v>Jul</v>
      </c>
      <c r="M840">
        <f>YEAR(tblSales[[#This Row],[Order Date]])</f>
        <v>2024</v>
      </c>
    </row>
    <row r="841" spans="1:13">
      <c r="A841" t="s">
        <v>1604</v>
      </c>
      <c r="B841" s="1">
        <v>45503</v>
      </c>
      <c r="C841" t="s">
        <v>14</v>
      </c>
      <c r="D841" t="s">
        <v>73</v>
      </c>
      <c r="E841" t="s">
        <v>74</v>
      </c>
      <c r="F841" t="s">
        <v>1605</v>
      </c>
      <c r="G841">
        <v>979.39</v>
      </c>
      <c r="H841">
        <v>7</v>
      </c>
      <c r="I841">
        <v>222</v>
      </c>
      <c r="J841" t="s">
        <v>24</v>
      </c>
      <c r="K841" s="6">
        <f>tblSales[[#This Row],[Profit]]/tblSales[[#This Row],[Sales]]</f>
        <v>0.22667170381564036</v>
      </c>
      <c r="L841" t="str">
        <f>TEXT(tblSales[[#This Row],[Order Date]],"mmm")</f>
        <v>Jul</v>
      </c>
      <c r="M841">
        <f>YEAR(tblSales[[#This Row],[Order Date]])</f>
        <v>2024</v>
      </c>
    </row>
    <row r="842" spans="1:13">
      <c r="A842" t="s">
        <v>1606</v>
      </c>
      <c r="B842" s="1">
        <v>45504</v>
      </c>
      <c r="C842" t="s">
        <v>20</v>
      </c>
      <c r="D842" t="s">
        <v>21</v>
      </c>
      <c r="E842" t="s">
        <v>89</v>
      </c>
      <c r="F842" t="s">
        <v>1607</v>
      </c>
      <c r="G842">
        <v>328.84</v>
      </c>
      <c r="H842">
        <v>6</v>
      </c>
      <c r="I842">
        <v>80.61</v>
      </c>
      <c r="J842" t="s">
        <v>18</v>
      </c>
      <c r="K842" s="6">
        <f>tblSales[[#This Row],[Profit]]/tblSales[[#This Row],[Sales]]</f>
        <v>0.24513441187203505</v>
      </c>
      <c r="L842" t="str">
        <f>TEXT(tblSales[[#This Row],[Order Date]],"mmm")</f>
        <v>Jul</v>
      </c>
      <c r="M842">
        <f>YEAR(tblSales[[#This Row],[Order Date]])</f>
        <v>2024</v>
      </c>
    </row>
    <row r="843" spans="1:13">
      <c r="A843" t="s">
        <v>1608</v>
      </c>
      <c r="B843" s="1">
        <v>45505</v>
      </c>
      <c r="C843" t="s">
        <v>39</v>
      </c>
      <c r="D843" t="s">
        <v>21</v>
      </c>
      <c r="E843" t="s">
        <v>22</v>
      </c>
      <c r="F843" t="s">
        <v>1609</v>
      </c>
      <c r="G843">
        <v>1255.52</v>
      </c>
      <c r="H843">
        <v>7</v>
      </c>
      <c r="I843">
        <v>88.6</v>
      </c>
      <c r="J843" t="s">
        <v>18</v>
      </c>
      <c r="K843" s="6">
        <f>tblSales[[#This Row],[Profit]]/tblSales[[#This Row],[Sales]]</f>
        <v>7.0568370077736711E-2</v>
      </c>
      <c r="L843" t="str">
        <f>TEXT(tblSales[[#This Row],[Order Date]],"mmm")</f>
        <v>Aug</v>
      </c>
      <c r="M843">
        <f>YEAR(tblSales[[#This Row],[Order Date]])</f>
        <v>2024</v>
      </c>
    </row>
    <row r="844" spans="1:13">
      <c r="A844" t="s">
        <v>1610</v>
      </c>
      <c r="B844" s="1">
        <v>45506</v>
      </c>
      <c r="C844" t="s">
        <v>39</v>
      </c>
      <c r="D844" t="s">
        <v>40</v>
      </c>
      <c r="E844" t="s">
        <v>41</v>
      </c>
      <c r="F844" t="s">
        <v>1611</v>
      </c>
      <c r="G844">
        <v>1436.07</v>
      </c>
      <c r="H844">
        <v>5</v>
      </c>
      <c r="I844">
        <v>222.09</v>
      </c>
      <c r="J844" t="s">
        <v>29</v>
      </c>
      <c r="K844" s="6">
        <f>tblSales[[#This Row],[Profit]]/tblSales[[#This Row],[Sales]]</f>
        <v>0.15465123566399969</v>
      </c>
      <c r="L844" t="str">
        <f>TEXT(tblSales[[#This Row],[Order Date]],"mmm")</f>
        <v>Aug</v>
      </c>
      <c r="M844">
        <f>YEAR(tblSales[[#This Row],[Order Date]])</f>
        <v>2024</v>
      </c>
    </row>
    <row r="845" spans="1:13">
      <c r="A845" t="s">
        <v>1612</v>
      </c>
      <c r="B845" s="1">
        <v>45507</v>
      </c>
      <c r="C845" t="s">
        <v>20</v>
      </c>
      <c r="D845" t="s">
        <v>21</v>
      </c>
      <c r="E845" t="s">
        <v>89</v>
      </c>
      <c r="F845" t="s">
        <v>1613</v>
      </c>
      <c r="G845">
        <v>1103.53</v>
      </c>
      <c r="H845">
        <v>8</v>
      </c>
      <c r="I845">
        <v>238.42</v>
      </c>
      <c r="J845" t="s">
        <v>18</v>
      </c>
      <c r="K845" s="6">
        <f>tblSales[[#This Row],[Profit]]/tblSales[[#This Row],[Sales]]</f>
        <v>0.21605212363959295</v>
      </c>
      <c r="L845" t="str">
        <f>TEXT(tblSales[[#This Row],[Order Date]],"mmm")</f>
        <v>Aug</v>
      </c>
      <c r="M845">
        <f>YEAR(tblSales[[#This Row],[Order Date]])</f>
        <v>2024</v>
      </c>
    </row>
    <row r="846" spans="1:13">
      <c r="A846" t="s">
        <v>1614</v>
      </c>
      <c r="B846" s="1">
        <v>45508</v>
      </c>
      <c r="C846" t="s">
        <v>14</v>
      </c>
      <c r="D846" t="s">
        <v>73</v>
      </c>
      <c r="E846" t="s">
        <v>74</v>
      </c>
      <c r="F846" t="s">
        <v>593</v>
      </c>
      <c r="G846">
        <v>109.02</v>
      </c>
      <c r="H846">
        <v>7</v>
      </c>
      <c r="I846">
        <v>28.35</v>
      </c>
      <c r="J846" t="s">
        <v>18</v>
      </c>
      <c r="K846" s="6">
        <f>tblSales[[#This Row],[Profit]]/tblSales[[#This Row],[Sales]]</f>
        <v>0.2600440286186021</v>
      </c>
      <c r="L846" t="str">
        <f>TEXT(tblSales[[#This Row],[Order Date]],"mmm")</f>
        <v>Aug</v>
      </c>
      <c r="M846">
        <f>YEAR(tblSales[[#This Row],[Order Date]])</f>
        <v>2024</v>
      </c>
    </row>
    <row r="847" spans="1:13">
      <c r="A847" t="s">
        <v>1615</v>
      </c>
      <c r="B847" s="1">
        <v>45509</v>
      </c>
      <c r="C847" t="s">
        <v>20</v>
      </c>
      <c r="D847" t="s">
        <v>26</v>
      </c>
      <c r="E847" t="s">
        <v>49</v>
      </c>
      <c r="F847" t="s">
        <v>412</v>
      </c>
      <c r="G847">
        <v>1882.03</v>
      </c>
      <c r="H847">
        <v>5</v>
      </c>
      <c r="I847">
        <v>324.36</v>
      </c>
      <c r="J847" t="s">
        <v>18</v>
      </c>
      <c r="K847" s="6">
        <f>tblSales[[#This Row],[Profit]]/tblSales[[#This Row],[Sales]]</f>
        <v>0.17234581807941426</v>
      </c>
      <c r="L847" t="str">
        <f>TEXT(tblSales[[#This Row],[Order Date]],"mmm")</f>
        <v>Aug</v>
      </c>
      <c r="M847">
        <f>YEAR(tblSales[[#This Row],[Order Date]])</f>
        <v>2024</v>
      </c>
    </row>
    <row r="848" spans="1:13">
      <c r="A848" t="s">
        <v>1616</v>
      </c>
      <c r="B848" s="1">
        <v>45510</v>
      </c>
      <c r="C848" t="s">
        <v>39</v>
      </c>
      <c r="D848" t="s">
        <v>15</v>
      </c>
      <c r="E848" t="s">
        <v>16</v>
      </c>
      <c r="F848" t="s">
        <v>1027</v>
      </c>
      <c r="G848">
        <v>1127.97</v>
      </c>
      <c r="H848">
        <v>6</v>
      </c>
      <c r="I848">
        <v>292.77</v>
      </c>
      <c r="J848" t="s">
        <v>29</v>
      </c>
      <c r="K848" s="6">
        <f>tblSales[[#This Row],[Profit]]/tblSales[[#This Row],[Sales]]</f>
        <v>0.25955477539296257</v>
      </c>
      <c r="L848" t="str">
        <f>TEXT(tblSales[[#This Row],[Order Date]],"mmm")</f>
        <v>Aug</v>
      </c>
      <c r="M848">
        <f>YEAR(tblSales[[#This Row],[Order Date]])</f>
        <v>2024</v>
      </c>
    </row>
    <row r="849" spans="1:13">
      <c r="A849" t="s">
        <v>1617</v>
      </c>
      <c r="B849" s="1">
        <v>45511</v>
      </c>
      <c r="C849" t="s">
        <v>20</v>
      </c>
      <c r="D849" t="s">
        <v>40</v>
      </c>
      <c r="E849" t="s">
        <v>92</v>
      </c>
      <c r="F849" t="s">
        <v>1618</v>
      </c>
      <c r="G849">
        <v>825.47</v>
      </c>
      <c r="H849">
        <v>7</v>
      </c>
      <c r="I849">
        <v>185.43</v>
      </c>
      <c r="J849" t="s">
        <v>18</v>
      </c>
      <c r="K849" s="6">
        <f>tblSales[[#This Row],[Profit]]/tblSales[[#This Row],[Sales]]</f>
        <v>0.22463566210764777</v>
      </c>
      <c r="L849" t="str">
        <f>TEXT(tblSales[[#This Row],[Order Date]],"mmm")</f>
        <v>Aug</v>
      </c>
      <c r="M849">
        <f>YEAR(tblSales[[#This Row],[Order Date]])</f>
        <v>2024</v>
      </c>
    </row>
    <row r="850" spans="1:13">
      <c r="A850" t="s">
        <v>1619</v>
      </c>
      <c r="B850" s="1">
        <v>45512</v>
      </c>
      <c r="C850" t="s">
        <v>14</v>
      </c>
      <c r="D850" t="s">
        <v>21</v>
      </c>
      <c r="E850" t="s">
        <v>22</v>
      </c>
      <c r="F850" t="s">
        <v>755</v>
      </c>
      <c r="G850">
        <v>1037.42</v>
      </c>
      <c r="H850">
        <v>8</v>
      </c>
      <c r="I850">
        <v>102.81</v>
      </c>
      <c r="J850" t="s">
        <v>24</v>
      </c>
      <c r="K850" s="6">
        <f>tblSales[[#This Row],[Profit]]/tblSales[[#This Row],[Sales]]</f>
        <v>9.9101617474118484E-2</v>
      </c>
      <c r="L850" t="str">
        <f>TEXT(tblSales[[#This Row],[Order Date]],"mmm")</f>
        <v>Aug</v>
      </c>
      <c r="M850">
        <f>YEAR(tblSales[[#This Row],[Order Date]])</f>
        <v>2024</v>
      </c>
    </row>
    <row r="851" spans="1:13">
      <c r="A851" t="s">
        <v>1620</v>
      </c>
      <c r="B851" s="1">
        <v>45513</v>
      </c>
      <c r="C851" t="s">
        <v>33</v>
      </c>
      <c r="D851" t="s">
        <v>26</v>
      </c>
      <c r="E851" t="s">
        <v>34</v>
      </c>
      <c r="F851" t="s">
        <v>1621</v>
      </c>
      <c r="G851">
        <v>1144.0999999999999</v>
      </c>
      <c r="H851">
        <v>9</v>
      </c>
      <c r="I851">
        <v>203.91</v>
      </c>
      <c r="J851" t="s">
        <v>29</v>
      </c>
      <c r="K851" s="6">
        <f>tblSales[[#This Row],[Profit]]/tblSales[[#This Row],[Sales]]</f>
        <v>0.17822742767240626</v>
      </c>
      <c r="L851" t="str">
        <f>TEXT(tblSales[[#This Row],[Order Date]],"mmm")</f>
        <v>Aug</v>
      </c>
      <c r="M851">
        <f>YEAR(tblSales[[#This Row],[Order Date]])</f>
        <v>2024</v>
      </c>
    </row>
    <row r="852" spans="1:13">
      <c r="A852" t="s">
        <v>1622</v>
      </c>
      <c r="B852" s="1">
        <v>45514</v>
      </c>
      <c r="C852" t="s">
        <v>20</v>
      </c>
      <c r="D852" t="s">
        <v>26</v>
      </c>
      <c r="E852" t="s">
        <v>34</v>
      </c>
      <c r="F852" t="s">
        <v>1623</v>
      </c>
      <c r="G852">
        <v>817.5</v>
      </c>
      <c r="H852">
        <v>7</v>
      </c>
      <c r="I852">
        <v>231.42</v>
      </c>
      <c r="J852" t="s">
        <v>24</v>
      </c>
      <c r="K852" s="6">
        <f>tblSales[[#This Row],[Profit]]/tblSales[[#This Row],[Sales]]</f>
        <v>0.28308256880733945</v>
      </c>
      <c r="L852" t="str">
        <f>TEXT(tblSales[[#This Row],[Order Date]],"mmm")</f>
        <v>Aug</v>
      </c>
      <c r="M852">
        <f>YEAR(tblSales[[#This Row],[Order Date]])</f>
        <v>2024</v>
      </c>
    </row>
    <row r="853" spans="1:13">
      <c r="A853" t="s">
        <v>1624</v>
      </c>
      <c r="B853" s="1">
        <v>45515</v>
      </c>
      <c r="C853" t="s">
        <v>14</v>
      </c>
      <c r="D853" t="s">
        <v>21</v>
      </c>
      <c r="E853" t="s">
        <v>22</v>
      </c>
      <c r="F853" t="s">
        <v>1625</v>
      </c>
      <c r="G853">
        <v>299.62</v>
      </c>
      <c r="H853">
        <v>6</v>
      </c>
      <c r="I853">
        <v>79</v>
      </c>
      <c r="J853" t="s">
        <v>24</v>
      </c>
      <c r="K853" s="6">
        <f>tblSales[[#This Row],[Profit]]/tblSales[[#This Row],[Sales]]</f>
        <v>0.26366731192844267</v>
      </c>
      <c r="L853" t="str">
        <f>TEXT(tblSales[[#This Row],[Order Date]],"mmm")</f>
        <v>Aug</v>
      </c>
      <c r="M853">
        <f>YEAR(tblSales[[#This Row],[Order Date]])</f>
        <v>2024</v>
      </c>
    </row>
    <row r="854" spans="1:13">
      <c r="A854" t="s">
        <v>1626</v>
      </c>
      <c r="B854" s="1">
        <v>45516</v>
      </c>
      <c r="C854" t="s">
        <v>20</v>
      </c>
      <c r="D854" t="s">
        <v>15</v>
      </c>
      <c r="E854" t="s">
        <v>52</v>
      </c>
      <c r="F854" t="s">
        <v>1627</v>
      </c>
      <c r="G854">
        <v>453.05</v>
      </c>
      <c r="H854">
        <v>6</v>
      </c>
      <c r="I854">
        <v>116.17</v>
      </c>
      <c r="J854" t="s">
        <v>18</v>
      </c>
      <c r="K854" s="6">
        <f>tblSales[[#This Row],[Profit]]/tblSales[[#This Row],[Sales]]</f>
        <v>0.25641761394989515</v>
      </c>
      <c r="L854" t="str">
        <f>TEXT(tblSales[[#This Row],[Order Date]],"mmm")</f>
        <v>Aug</v>
      </c>
      <c r="M854">
        <f>YEAR(tblSales[[#This Row],[Order Date]])</f>
        <v>2024</v>
      </c>
    </row>
    <row r="855" spans="1:13">
      <c r="A855" t="s">
        <v>1628</v>
      </c>
      <c r="B855" s="1">
        <v>45517</v>
      </c>
      <c r="C855" t="s">
        <v>20</v>
      </c>
      <c r="D855" t="s">
        <v>40</v>
      </c>
      <c r="E855" t="s">
        <v>92</v>
      </c>
      <c r="F855" t="s">
        <v>1629</v>
      </c>
      <c r="G855">
        <v>1855.71</v>
      </c>
      <c r="H855">
        <v>8</v>
      </c>
      <c r="I855">
        <v>352.01</v>
      </c>
      <c r="J855" t="s">
        <v>18</v>
      </c>
      <c r="K855" s="6">
        <f>tblSales[[#This Row],[Profit]]/tblSales[[#This Row],[Sales]]</f>
        <v>0.18969019943848983</v>
      </c>
      <c r="L855" t="str">
        <f>TEXT(tblSales[[#This Row],[Order Date]],"mmm")</f>
        <v>Aug</v>
      </c>
      <c r="M855">
        <f>YEAR(tblSales[[#This Row],[Order Date]])</f>
        <v>2024</v>
      </c>
    </row>
    <row r="856" spans="1:13">
      <c r="A856" t="s">
        <v>1630</v>
      </c>
      <c r="B856" s="1">
        <v>45518</v>
      </c>
      <c r="C856" t="s">
        <v>14</v>
      </c>
      <c r="D856" t="s">
        <v>40</v>
      </c>
      <c r="E856" t="s">
        <v>44</v>
      </c>
      <c r="F856" t="s">
        <v>1631</v>
      </c>
      <c r="G856">
        <v>761.61</v>
      </c>
      <c r="H856">
        <v>3</v>
      </c>
      <c r="I856">
        <v>216.85</v>
      </c>
      <c r="J856" t="s">
        <v>24</v>
      </c>
      <c r="K856" s="6">
        <f>tblSales[[#This Row],[Profit]]/tblSales[[#This Row],[Sales]]</f>
        <v>0.28472577828547418</v>
      </c>
      <c r="L856" t="str">
        <f>TEXT(tblSales[[#This Row],[Order Date]],"mmm")</f>
        <v>Aug</v>
      </c>
      <c r="M856">
        <f>YEAR(tblSales[[#This Row],[Order Date]])</f>
        <v>2024</v>
      </c>
    </row>
    <row r="857" spans="1:13">
      <c r="A857" t="s">
        <v>1632</v>
      </c>
      <c r="B857" s="1">
        <v>45519</v>
      </c>
      <c r="C857" t="s">
        <v>39</v>
      </c>
      <c r="D857" t="s">
        <v>73</v>
      </c>
      <c r="E857" t="s">
        <v>164</v>
      </c>
      <c r="F857" t="s">
        <v>1633</v>
      </c>
      <c r="G857">
        <v>1122.43</v>
      </c>
      <c r="H857">
        <v>5</v>
      </c>
      <c r="I857">
        <v>105.26</v>
      </c>
      <c r="J857" t="s">
        <v>24</v>
      </c>
      <c r="K857" s="6">
        <f>tblSales[[#This Row],[Profit]]/tblSales[[#This Row],[Sales]]</f>
        <v>9.377867662125923E-2</v>
      </c>
      <c r="L857" t="str">
        <f>TEXT(tblSales[[#This Row],[Order Date]],"mmm")</f>
        <v>Aug</v>
      </c>
      <c r="M857">
        <f>YEAR(tblSales[[#This Row],[Order Date]])</f>
        <v>2024</v>
      </c>
    </row>
    <row r="858" spans="1:13">
      <c r="A858" t="s">
        <v>1634</v>
      </c>
      <c r="B858" s="1">
        <v>45520</v>
      </c>
      <c r="C858" t="s">
        <v>14</v>
      </c>
      <c r="D858" t="s">
        <v>40</v>
      </c>
      <c r="E858" t="s">
        <v>44</v>
      </c>
      <c r="F858" t="s">
        <v>1635</v>
      </c>
      <c r="G858">
        <v>456.6</v>
      </c>
      <c r="H858">
        <v>5</v>
      </c>
      <c r="I858">
        <v>122.61</v>
      </c>
      <c r="J858" t="s">
        <v>29</v>
      </c>
      <c r="K858" s="6">
        <f>tblSales[[#This Row],[Profit]]/tblSales[[#This Row],[Sales]]</f>
        <v>0.26852825229960575</v>
      </c>
      <c r="L858" t="str">
        <f>TEXT(tblSales[[#This Row],[Order Date]],"mmm")</f>
        <v>Aug</v>
      </c>
      <c r="M858">
        <f>YEAR(tblSales[[#This Row],[Order Date]])</f>
        <v>2024</v>
      </c>
    </row>
    <row r="859" spans="1:13">
      <c r="A859" t="s">
        <v>1636</v>
      </c>
      <c r="B859" s="1">
        <v>45521</v>
      </c>
      <c r="C859" t="s">
        <v>39</v>
      </c>
      <c r="D859" t="s">
        <v>26</v>
      </c>
      <c r="E859" t="s">
        <v>49</v>
      </c>
      <c r="F859" t="s">
        <v>1637</v>
      </c>
      <c r="G859">
        <v>541.23</v>
      </c>
      <c r="H859">
        <v>2</v>
      </c>
      <c r="I859">
        <v>34.299999999999997</v>
      </c>
      <c r="J859" t="s">
        <v>29</v>
      </c>
      <c r="K859" s="6">
        <f>tblSales[[#This Row],[Profit]]/tblSales[[#This Row],[Sales]]</f>
        <v>6.3374166250946912E-2</v>
      </c>
      <c r="L859" t="str">
        <f>TEXT(tblSales[[#This Row],[Order Date]],"mmm")</f>
        <v>Aug</v>
      </c>
      <c r="M859">
        <f>YEAR(tblSales[[#This Row],[Order Date]])</f>
        <v>2024</v>
      </c>
    </row>
    <row r="860" spans="1:13">
      <c r="A860" t="s">
        <v>1638</v>
      </c>
      <c r="B860" s="1">
        <v>45522</v>
      </c>
      <c r="C860" t="s">
        <v>39</v>
      </c>
      <c r="D860" t="s">
        <v>40</v>
      </c>
      <c r="E860" t="s">
        <v>44</v>
      </c>
      <c r="F860" t="s">
        <v>1639</v>
      </c>
      <c r="G860">
        <v>321.06</v>
      </c>
      <c r="H860">
        <v>1</v>
      </c>
      <c r="I860">
        <v>60.55</v>
      </c>
      <c r="J860" t="s">
        <v>24</v>
      </c>
      <c r="K860" s="6">
        <f>tblSales[[#This Row],[Profit]]/tblSales[[#This Row],[Sales]]</f>
        <v>0.18859403226811186</v>
      </c>
      <c r="L860" t="str">
        <f>TEXT(tblSales[[#This Row],[Order Date]],"mmm")</f>
        <v>Aug</v>
      </c>
      <c r="M860">
        <f>YEAR(tblSales[[#This Row],[Order Date]])</f>
        <v>2024</v>
      </c>
    </row>
    <row r="861" spans="1:13">
      <c r="A861" t="s">
        <v>1640</v>
      </c>
      <c r="B861" s="1">
        <v>45523</v>
      </c>
      <c r="C861" t="s">
        <v>20</v>
      </c>
      <c r="D861" t="s">
        <v>26</v>
      </c>
      <c r="E861" t="s">
        <v>34</v>
      </c>
      <c r="F861" t="s">
        <v>1641</v>
      </c>
      <c r="G861">
        <v>982.54</v>
      </c>
      <c r="H861">
        <v>2</v>
      </c>
      <c r="I861">
        <v>282.11</v>
      </c>
      <c r="J861" t="s">
        <v>18</v>
      </c>
      <c r="K861" s="6">
        <f>tblSales[[#This Row],[Profit]]/tblSales[[#This Row],[Sales]]</f>
        <v>0.28712317055794168</v>
      </c>
      <c r="L861" t="str">
        <f>TEXT(tblSales[[#This Row],[Order Date]],"mmm")</f>
        <v>Aug</v>
      </c>
      <c r="M861">
        <f>YEAR(tblSales[[#This Row],[Order Date]])</f>
        <v>2024</v>
      </c>
    </row>
    <row r="862" spans="1:13">
      <c r="A862" t="s">
        <v>1642</v>
      </c>
      <c r="B862" s="1">
        <v>45524</v>
      </c>
      <c r="C862" t="s">
        <v>33</v>
      </c>
      <c r="D862" t="s">
        <v>15</v>
      </c>
      <c r="E862" t="s">
        <v>60</v>
      </c>
      <c r="F862" t="s">
        <v>1643</v>
      </c>
      <c r="G862">
        <v>1227.68</v>
      </c>
      <c r="H862">
        <v>7</v>
      </c>
      <c r="I862">
        <v>63.36</v>
      </c>
      <c r="J862" t="s">
        <v>29</v>
      </c>
      <c r="K862" s="6">
        <f>tblSales[[#This Row],[Profit]]/tblSales[[#This Row],[Sales]]</f>
        <v>5.1609539945262607E-2</v>
      </c>
      <c r="L862" t="str">
        <f>TEXT(tblSales[[#This Row],[Order Date]],"mmm")</f>
        <v>Aug</v>
      </c>
      <c r="M862">
        <f>YEAR(tblSales[[#This Row],[Order Date]])</f>
        <v>2024</v>
      </c>
    </row>
    <row r="863" spans="1:13">
      <c r="A863" t="s">
        <v>1644</v>
      </c>
      <c r="B863" s="1">
        <v>45525</v>
      </c>
      <c r="C863" t="s">
        <v>20</v>
      </c>
      <c r="D863" t="s">
        <v>26</v>
      </c>
      <c r="E863" t="s">
        <v>34</v>
      </c>
      <c r="F863" t="s">
        <v>1645</v>
      </c>
      <c r="G863">
        <v>325.89</v>
      </c>
      <c r="H863">
        <v>2</v>
      </c>
      <c r="I863">
        <v>78.25</v>
      </c>
      <c r="J863" t="s">
        <v>18</v>
      </c>
      <c r="K863" s="6">
        <f>tblSales[[#This Row],[Profit]]/tblSales[[#This Row],[Sales]]</f>
        <v>0.24011169412992114</v>
      </c>
      <c r="L863" t="str">
        <f>TEXT(tblSales[[#This Row],[Order Date]],"mmm")</f>
        <v>Aug</v>
      </c>
      <c r="M863">
        <f>YEAR(tblSales[[#This Row],[Order Date]])</f>
        <v>2024</v>
      </c>
    </row>
    <row r="864" spans="1:13">
      <c r="A864" t="s">
        <v>1646</v>
      </c>
      <c r="B864" s="1">
        <v>45526</v>
      </c>
      <c r="C864" t="s">
        <v>14</v>
      </c>
      <c r="D864" t="s">
        <v>21</v>
      </c>
      <c r="E864" t="s">
        <v>22</v>
      </c>
      <c r="F864" t="s">
        <v>1647</v>
      </c>
      <c r="G864">
        <v>1414.08</v>
      </c>
      <c r="H864">
        <v>2</v>
      </c>
      <c r="I864">
        <v>211.36</v>
      </c>
      <c r="J864" t="s">
        <v>24</v>
      </c>
      <c r="K864" s="6">
        <f>tblSales[[#This Row],[Profit]]/tblSales[[#This Row],[Sales]]</f>
        <v>0.14946820547635215</v>
      </c>
      <c r="L864" t="str">
        <f>TEXT(tblSales[[#This Row],[Order Date]],"mmm")</f>
        <v>Aug</v>
      </c>
      <c r="M864">
        <f>YEAR(tblSales[[#This Row],[Order Date]])</f>
        <v>2024</v>
      </c>
    </row>
    <row r="865" spans="1:13">
      <c r="A865" t="s">
        <v>1648</v>
      </c>
      <c r="B865" s="1">
        <v>45527</v>
      </c>
      <c r="C865" t="s">
        <v>39</v>
      </c>
      <c r="D865" t="s">
        <v>26</v>
      </c>
      <c r="E865" t="s">
        <v>34</v>
      </c>
      <c r="F865" t="s">
        <v>845</v>
      </c>
      <c r="G865">
        <v>358</v>
      </c>
      <c r="H865">
        <v>5</v>
      </c>
      <c r="I865">
        <v>86.18</v>
      </c>
      <c r="J865" t="s">
        <v>29</v>
      </c>
      <c r="K865" s="6">
        <f>tblSales[[#This Row],[Profit]]/tblSales[[#This Row],[Sales]]</f>
        <v>0.24072625698324024</v>
      </c>
      <c r="L865" t="str">
        <f>TEXT(tblSales[[#This Row],[Order Date]],"mmm")</f>
        <v>Aug</v>
      </c>
      <c r="M865">
        <f>YEAR(tblSales[[#This Row],[Order Date]])</f>
        <v>2024</v>
      </c>
    </row>
    <row r="866" spans="1:13">
      <c r="A866" t="s">
        <v>1649</v>
      </c>
      <c r="B866" s="1">
        <v>45528</v>
      </c>
      <c r="C866" t="s">
        <v>20</v>
      </c>
      <c r="D866" t="s">
        <v>73</v>
      </c>
      <c r="E866" t="s">
        <v>84</v>
      </c>
      <c r="F866" t="s">
        <v>1650</v>
      </c>
      <c r="G866">
        <v>1300.27</v>
      </c>
      <c r="H866">
        <v>3</v>
      </c>
      <c r="I866">
        <v>264.97000000000003</v>
      </c>
      <c r="J866" t="s">
        <v>24</v>
      </c>
      <c r="K866" s="6">
        <f>tblSales[[#This Row],[Profit]]/tblSales[[#This Row],[Sales]]</f>
        <v>0.20378075322817571</v>
      </c>
      <c r="L866" t="str">
        <f>TEXT(tblSales[[#This Row],[Order Date]],"mmm")</f>
        <v>Aug</v>
      </c>
      <c r="M866">
        <f>YEAR(tblSales[[#This Row],[Order Date]])</f>
        <v>2024</v>
      </c>
    </row>
    <row r="867" spans="1:13">
      <c r="A867" t="s">
        <v>1651</v>
      </c>
      <c r="B867" s="1">
        <v>45529</v>
      </c>
      <c r="C867" t="s">
        <v>39</v>
      </c>
      <c r="D867" t="s">
        <v>21</v>
      </c>
      <c r="E867" t="s">
        <v>89</v>
      </c>
      <c r="F867" t="s">
        <v>1652</v>
      </c>
      <c r="G867">
        <v>1029.51</v>
      </c>
      <c r="H867">
        <v>5</v>
      </c>
      <c r="I867">
        <v>64.41</v>
      </c>
      <c r="J867" t="s">
        <v>24</v>
      </c>
      <c r="K867" s="6">
        <f>tblSales[[#This Row],[Profit]]/tblSales[[#This Row],[Sales]]</f>
        <v>6.2563743917009057E-2</v>
      </c>
      <c r="L867" t="str">
        <f>TEXT(tblSales[[#This Row],[Order Date]],"mmm")</f>
        <v>Aug</v>
      </c>
      <c r="M867">
        <f>YEAR(tblSales[[#This Row],[Order Date]])</f>
        <v>2024</v>
      </c>
    </row>
    <row r="868" spans="1:13">
      <c r="A868" t="s">
        <v>1653</v>
      </c>
      <c r="B868" s="1">
        <v>45530</v>
      </c>
      <c r="C868" t="s">
        <v>33</v>
      </c>
      <c r="D868" t="s">
        <v>73</v>
      </c>
      <c r="E868" t="s">
        <v>84</v>
      </c>
      <c r="F868" t="s">
        <v>1654</v>
      </c>
      <c r="G868">
        <v>1111.3</v>
      </c>
      <c r="H868">
        <v>4</v>
      </c>
      <c r="I868">
        <v>313.49</v>
      </c>
      <c r="J868" t="s">
        <v>18</v>
      </c>
      <c r="K868" s="6">
        <f>tblSales[[#This Row],[Profit]]/tblSales[[#This Row],[Sales]]</f>
        <v>0.28209304418248898</v>
      </c>
      <c r="L868" t="str">
        <f>TEXT(tblSales[[#This Row],[Order Date]],"mmm")</f>
        <v>Aug</v>
      </c>
      <c r="M868">
        <f>YEAR(tblSales[[#This Row],[Order Date]])</f>
        <v>2024</v>
      </c>
    </row>
    <row r="869" spans="1:13">
      <c r="A869" t="s">
        <v>1655</v>
      </c>
      <c r="B869" s="1">
        <v>45531</v>
      </c>
      <c r="C869" t="s">
        <v>33</v>
      </c>
      <c r="D869" t="s">
        <v>15</v>
      </c>
      <c r="E869" t="s">
        <v>52</v>
      </c>
      <c r="F869" t="s">
        <v>1656</v>
      </c>
      <c r="G869">
        <v>1596.09</v>
      </c>
      <c r="H869">
        <v>2</v>
      </c>
      <c r="I869">
        <v>165.79</v>
      </c>
      <c r="J869" t="s">
        <v>18</v>
      </c>
      <c r="K869" s="6">
        <f>tblSales[[#This Row],[Profit]]/tblSales[[#This Row],[Sales]]</f>
        <v>0.10387258863848529</v>
      </c>
      <c r="L869" t="str">
        <f>TEXT(tblSales[[#This Row],[Order Date]],"mmm")</f>
        <v>Aug</v>
      </c>
      <c r="M869">
        <f>YEAR(tblSales[[#This Row],[Order Date]])</f>
        <v>2024</v>
      </c>
    </row>
    <row r="870" spans="1:13">
      <c r="A870" t="s">
        <v>1657</v>
      </c>
      <c r="B870" s="1">
        <v>45532</v>
      </c>
      <c r="C870" t="s">
        <v>20</v>
      </c>
      <c r="D870" t="s">
        <v>73</v>
      </c>
      <c r="E870" t="s">
        <v>84</v>
      </c>
      <c r="F870" t="s">
        <v>599</v>
      </c>
      <c r="G870">
        <v>394.5</v>
      </c>
      <c r="H870">
        <v>1</v>
      </c>
      <c r="I870">
        <v>79.959999999999994</v>
      </c>
      <c r="J870" t="s">
        <v>18</v>
      </c>
      <c r="K870" s="6">
        <f>tblSales[[#This Row],[Profit]]/tblSales[[#This Row],[Sales]]</f>
        <v>0.20268694550063371</v>
      </c>
      <c r="L870" t="str">
        <f>TEXT(tblSales[[#This Row],[Order Date]],"mmm")</f>
        <v>Aug</v>
      </c>
      <c r="M870">
        <f>YEAR(tblSales[[#This Row],[Order Date]])</f>
        <v>2024</v>
      </c>
    </row>
    <row r="871" spans="1:13">
      <c r="A871" t="s">
        <v>1658</v>
      </c>
      <c r="B871" s="1">
        <v>45533</v>
      </c>
      <c r="C871" t="s">
        <v>14</v>
      </c>
      <c r="D871" t="s">
        <v>73</v>
      </c>
      <c r="E871" t="s">
        <v>164</v>
      </c>
      <c r="F871" t="s">
        <v>1659</v>
      </c>
      <c r="G871">
        <v>129.94</v>
      </c>
      <c r="H871">
        <v>7</v>
      </c>
      <c r="I871">
        <v>10.57</v>
      </c>
      <c r="J871" t="s">
        <v>24</v>
      </c>
      <c r="K871" s="6">
        <f>tblSales[[#This Row],[Profit]]/tblSales[[#This Row],[Sales]]</f>
        <v>8.1345236262890572E-2</v>
      </c>
      <c r="L871" t="str">
        <f>TEXT(tblSales[[#This Row],[Order Date]],"mmm")</f>
        <v>Aug</v>
      </c>
      <c r="M871">
        <f>YEAR(tblSales[[#This Row],[Order Date]])</f>
        <v>2024</v>
      </c>
    </row>
    <row r="872" spans="1:13">
      <c r="A872" t="s">
        <v>1660</v>
      </c>
      <c r="B872" s="1">
        <v>45534</v>
      </c>
      <c r="C872" t="s">
        <v>20</v>
      </c>
      <c r="D872" t="s">
        <v>26</v>
      </c>
      <c r="E872" t="s">
        <v>34</v>
      </c>
      <c r="F872" t="s">
        <v>1661</v>
      </c>
      <c r="G872">
        <v>1121.78</v>
      </c>
      <c r="H872">
        <v>5</v>
      </c>
      <c r="I872">
        <v>214.76</v>
      </c>
      <c r="J872" t="s">
        <v>24</v>
      </c>
      <c r="K872" s="6">
        <f>tblSales[[#This Row],[Profit]]/tblSales[[#This Row],[Sales]]</f>
        <v>0.19144573802349837</v>
      </c>
      <c r="L872" t="str">
        <f>TEXT(tblSales[[#This Row],[Order Date]],"mmm")</f>
        <v>Aug</v>
      </c>
      <c r="M872">
        <f>YEAR(tblSales[[#This Row],[Order Date]])</f>
        <v>2024</v>
      </c>
    </row>
    <row r="873" spans="1:13">
      <c r="A873" t="s">
        <v>1662</v>
      </c>
      <c r="B873" s="1">
        <v>45535</v>
      </c>
      <c r="C873" t="s">
        <v>14</v>
      </c>
      <c r="D873" t="s">
        <v>26</v>
      </c>
      <c r="E873" t="s">
        <v>27</v>
      </c>
      <c r="F873" t="s">
        <v>326</v>
      </c>
      <c r="G873">
        <v>786.9</v>
      </c>
      <c r="H873">
        <v>2</v>
      </c>
      <c r="I873">
        <v>101.91</v>
      </c>
      <c r="J873" t="s">
        <v>18</v>
      </c>
      <c r="K873" s="6">
        <f>tblSales[[#This Row],[Profit]]/tblSales[[#This Row],[Sales]]</f>
        <v>0.12950819672131147</v>
      </c>
      <c r="L873" t="str">
        <f>TEXT(tblSales[[#This Row],[Order Date]],"mmm")</f>
        <v>Aug</v>
      </c>
      <c r="M873">
        <f>YEAR(tblSales[[#This Row],[Order Date]])</f>
        <v>2024</v>
      </c>
    </row>
    <row r="874" spans="1:13">
      <c r="A874" t="s">
        <v>1663</v>
      </c>
      <c r="B874" s="1">
        <v>45536</v>
      </c>
      <c r="C874" t="s">
        <v>39</v>
      </c>
      <c r="D874" t="s">
        <v>26</v>
      </c>
      <c r="E874" t="s">
        <v>49</v>
      </c>
      <c r="F874" t="s">
        <v>1664</v>
      </c>
      <c r="G874">
        <v>873.6</v>
      </c>
      <c r="H874">
        <v>8</v>
      </c>
      <c r="I874">
        <v>212.99</v>
      </c>
      <c r="J874" t="s">
        <v>29</v>
      </c>
      <c r="K874" s="6">
        <f>tblSales[[#This Row],[Profit]]/tblSales[[#This Row],[Sales]]</f>
        <v>0.24380723443223443</v>
      </c>
      <c r="L874" t="str">
        <f>TEXT(tblSales[[#This Row],[Order Date]],"mmm")</f>
        <v>Sep</v>
      </c>
      <c r="M874">
        <f>YEAR(tblSales[[#This Row],[Order Date]])</f>
        <v>2024</v>
      </c>
    </row>
    <row r="875" spans="1:13">
      <c r="A875" t="s">
        <v>1665</v>
      </c>
      <c r="B875" s="1">
        <v>45537</v>
      </c>
      <c r="C875" t="s">
        <v>20</v>
      </c>
      <c r="D875" t="s">
        <v>73</v>
      </c>
      <c r="E875" t="s">
        <v>84</v>
      </c>
      <c r="F875" t="s">
        <v>1666</v>
      </c>
      <c r="G875">
        <v>703.27</v>
      </c>
      <c r="H875">
        <v>1</v>
      </c>
      <c r="I875">
        <v>93.57</v>
      </c>
      <c r="J875" t="s">
        <v>29</v>
      </c>
      <c r="K875" s="6">
        <f>tblSales[[#This Row],[Profit]]/tblSales[[#This Row],[Sales]]</f>
        <v>0.1330498954882193</v>
      </c>
      <c r="L875" t="str">
        <f>TEXT(tblSales[[#This Row],[Order Date]],"mmm")</f>
        <v>Sep</v>
      </c>
      <c r="M875">
        <f>YEAR(tblSales[[#This Row],[Order Date]])</f>
        <v>2024</v>
      </c>
    </row>
    <row r="876" spans="1:13">
      <c r="A876" t="s">
        <v>1667</v>
      </c>
      <c r="B876" s="1">
        <v>45538</v>
      </c>
      <c r="C876" t="s">
        <v>39</v>
      </c>
      <c r="D876" t="s">
        <v>21</v>
      </c>
      <c r="E876" t="s">
        <v>22</v>
      </c>
      <c r="F876" t="s">
        <v>281</v>
      </c>
      <c r="G876">
        <v>102.17</v>
      </c>
      <c r="H876">
        <v>7</v>
      </c>
      <c r="I876">
        <v>11.89</v>
      </c>
      <c r="J876" t="s">
        <v>18</v>
      </c>
      <c r="K876" s="6">
        <f>tblSales[[#This Row],[Profit]]/tblSales[[#This Row],[Sales]]</f>
        <v>0.11637466966820006</v>
      </c>
      <c r="L876" t="str">
        <f>TEXT(tblSales[[#This Row],[Order Date]],"mmm")</f>
        <v>Sep</v>
      </c>
      <c r="M876">
        <f>YEAR(tblSales[[#This Row],[Order Date]])</f>
        <v>2024</v>
      </c>
    </row>
    <row r="877" spans="1:13">
      <c r="A877" t="s">
        <v>1668</v>
      </c>
      <c r="B877" s="1">
        <v>45539</v>
      </c>
      <c r="C877" t="s">
        <v>14</v>
      </c>
      <c r="D877" t="s">
        <v>15</v>
      </c>
      <c r="E877" t="s">
        <v>79</v>
      </c>
      <c r="F877" t="s">
        <v>1669</v>
      </c>
      <c r="G877">
        <v>1363.43</v>
      </c>
      <c r="H877">
        <v>6</v>
      </c>
      <c r="I877">
        <v>168.95</v>
      </c>
      <c r="J877" t="s">
        <v>18</v>
      </c>
      <c r="K877" s="6">
        <f>tblSales[[#This Row],[Profit]]/tblSales[[#This Row],[Sales]]</f>
        <v>0.1239154192001056</v>
      </c>
      <c r="L877" t="str">
        <f>TEXT(tblSales[[#This Row],[Order Date]],"mmm")</f>
        <v>Sep</v>
      </c>
      <c r="M877">
        <f>YEAR(tblSales[[#This Row],[Order Date]])</f>
        <v>2024</v>
      </c>
    </row>
    <row r="878" spans="1:13">
      <c r="A878" t="s">
        <v>1670</v>
      </c>
      <c r="B878" s="1">
        <v>45540</v>
      </c>
      <c r="C878" t="s">
        <v>14</v>
      </c>
      <c r="D878" t="s">
        <v>73</v>
      </c>
      <c r="E878" t="s">
        <v>84</v>
      </c>
      <c r="F878" t="s">
        <v>1671</v>
      </c>
      <c r="G878">
        <v>1207.26</v>
      </c>
      <c r="H878">
        <v>4</v>
      </c>
      <c r="I878">
        <v>283.42</v>
      </c>
      <c r="J878" t="s">
        <v>29</v>
      </c>
      <c r="K878" s="6">
        <f>tblSales[[#This Row],[Profit]]/tblSales[[#This Row],[Sales]]</f>
        <v>0.23476301707999936</v>
      </c>
      <c r="L878" t="str">
        <f>TEXT(tblSales[[#This Row],[Order Date]],"mmm")</f>
        <v>Sep</v>
      </c>
      <c r="M878">
        <f>YEAR(tblSales[[#This Row],[Order Date]])</f>
        <v>2024</v>
      </c>
    </row>
    <row r="879" spans="1:13">
      <c r="A879" t="s">
        <v>1672</v>
      </c>
      <c r="B879" s="1">
        <v>45541</v>
      </c>
      <c r="C879" t="s">
        <v>14</v>
      </c>
      <c r="D879" t="s">
        <v>40</v>
      </c>
      <c r="E879" t="s">
        <v>92</v>
      </c>
      <c r="F879" t="s">
        <v>658</v>
      </c>
      <c r="G879">
        <v>577.6</v>
      </c>
      <c r="H879">
        <v>4</v>
      </c>
      <c r="I879">
        <v>126.8</v>
      </c>
      <c r="J879" t="s">
        <v>24</v>
      </c>
      <c r="K879" s="6">
        <f>tblSales[[#This Row],[Profit]]/tblSales[[#This Row],[Sales]]</f>
        <v>0.21952908587257616</v>
      </c>
      <c r="L879" t="str">
        <f>TEXT(tblSales[[#This Row],[Order Date]],"mmm")</f>
        <v>Sep</v>
      </c>
      <c r="M879">
        <f>YEAR(tblSales[[#This Row],[Order Date]])</f>
        <v>2024</v>
      </c>
    </row>
    <row r="880" spans="1:13">
      <c r="A880" t="s">
        <v>1673</v>
      </c>
      <c r="B880" s="1">
        <v>45542</v>
      </c>
      <c r="C880" t="s">
        <v>33</v>
      </c>
      <c r="D880" t="s">
        <v>40</v>
      </c>
      <c r="E880" t="s">
        <v>44</v>
      </c>
      <c r="F880" t="s">
        <v>1674</v>
      </c>
      <c r="G880">
        <v>1980.42</v>
      </c>
      <c r="H880">
        <v>3</v>
      </c>
      <c r="I880">
        <v>169.45</v>
      </c>
      <c r="J880" t="s">
        <v>24</v>
      </c>
      <c r="K880" s="6">
        <f>tblSales[[#This Row],[Profit]]/tblSales[[#This Row],[Sales]]</f>
        <v>8.5562658425990437E-2</v>
      </c>
      <c r="L880" t="str">
        <f>TEXT(tblSales[[#This Row],[Order Date]],"mmm")</f>
        <v>Sep</v>
      </c>
      <c r="M880">
        <f>YEAR(tblSales[[#This Row],[Order Date]])</f>
        <v>2024</v>
      </c>
    </row>
    <row r="881" spans="1:13">
      <c r="A881" t="s">
        <v>1675</v>
      </c>
      <c r="B881" s="1">
        <v>45543</v>
      </c>
      <c r="C881" t="s">
        <v>39</v>
      </c>
      <c r="D881" t="s">
        <v>15</v>
      </c>
      <c r="E881" t="s">
        <v>60</v>
      </c>
      <c r="F881" t="s">
        <v>1676</v>
      </c>
      <c r="G881">
        <v>536.88</v>
      </c>
      <c r="H881">
        <v>2</v>
      </c>
      <c r="I881">
        <v>159.94999999999999</v>
      </c>
      <c r="J881" t="s">
        <v>29</v>
      </c>
      <c r="K881" s="6">
        <f>tblSales[[#This Row],[Profit]]/tblSales[[#This Row],[Sales]]</f>
        <v>0.29792504842795409</v>
      </c>
      <c r="L881" t="str">
        <f>TEXT(tblSales[[#This Row],[Order Date]],"mmm")</f>
        <v>Sep</v>
      </c>
      <c r="M881">
        <f>YEAR(tblSales[[#This Row],[Order Date]])</f>
        <v>2024</v>
      </c>
    </row>
    <row r="882" spans="1:13">
      <c r="A882" t="s">
        <v>1677</v>
      </c>
      <c r="B882" s="1">
        <v>45544</v>
      </c>
      <c r="C882" t="s">
        <v>39</v>
      </c>
      <c r="D882" t="s">
        <v>73</v>
      </c>
      <c r="E882" t="s">
        <v>84</v>
      </c>
      <c r="F882" t="s">
        <v>1678</v>
      </c>
      <c r="G882">
        <v>1969.99</v>
      </c>
      <c r="H882">
        <v>8</v>
      </c>
      <c r="I882">
        <v>281.95999999999998</v>
      </c>
      <c r="J882" t="s">
        <v>24</v>
      </c>
      <c r="K882" s="6">
        <f>tblSales[[#This Row],[Profit]]/tblSales[[#This Row],[Sales]]</f>
        <v>0.14312763008949284</v>
      </c>
      <c r="L882" t="str">
        <f>TEXT(tblSales[[#This Row],[Order Date]],"mmm")</f>
        <v>Sep</v>
      </c>
      <c r="M882">
        <f>YEAR(tblSales[[#This Row],[Order Date]])</f>
        <v>2024</v>
      </c>
    </row>
    <row r="883" spans="1:13">
      <c r="A883" t="s">
        <v>1679</v>
      </c>
      <c r="B883" s="1">
        <v>45545</v>
      </c>
      <c r="C883" t="s">
        <v>39</v>
      </c>
      <c r="D883" t="s">
        <v>26</v>
      </c>
      <c r="E883" t="s">
        <v>27</v>
      </c>
      <c r="F883" t="s">
        <v>402</v>
      </c>
      <c r="G883">
        <v>202.87</v>
      </c>
      <c r="H883">
        <v>8</v>
      </c>
      <c r="I883">
        <v>40.33</v>
      </c>
      <c r="J883" t="s">
        <v>29</v>
      </c>
      <c r="K883" s="6">
        <f>tblSales[[#This Row],[Profit]]/tblSales[[#This Row],[Sales]]</f>
        <v>0.1987972593286341</v>
      </c>
      <c r="L883" t="str">
        <f>TEXT(tblSales[[#This Row],[Order Date]],"mmm")</f>
        <v>Sep</v>
      </c>
      <c r="M883">
        <f>YEAR(tblSales[[#This Row],[Order Date]])</f>
        <v>2024</v>
      </c>
    </row>
    <row r="884" spans="1:13">
      <c r="A884" t="s">
        <v>1680</v>
      </c>
      <c r="B884" s="1">
        <v>45546</v>
      </c>
      <c r="C884" t="s">
        <v>39</v>
      </c>
      <c r="D884" t="s">
        <v>26</v>
      </c>
      <c r="E884" t="s">
        <v>49</v>
      </c>
      <c r="F884" t="s">
        <v>144</v>
      </c>
      <c r="G884">
        <v>1936.79</v>
      </c>
      <c r="H884">
        <v>9</v>
      </c>
      <c r="I884">
        <v>539.02</v>
      </c>
      <c r="J884" t="s">
        <v>29</v>
      </c>
      <c r="K884" s="6">
        <f>tblSales[[#This Row],[Profit]]/tblSales[[#This Row],[Sales]]</f>
        <v>0.27830585659777257</v>
      </c>
      <c r="L884" t="str">
        <f>TEXT(tblSales[[#This Row],[Order Date]],"mmm")</f>
        <v>Sep</v>
      </c>
      <c r="M884">
        <f>YEAR(tblSales[[#This Row],[Order Date]])</f>
        <v>2024</v>
      </c>
    </row>
    <row r="885" spans="1:13">
      <c r="A885" t="s">
        <v>1681</v>
      </c>
      <c r="B885" s="1">
        <v>45547</v>
      </c>
      <c r="C885" t="s">
        <v>33</v>
      </c>
      <c r="D885" t="s">
        <v>21</v>
      </c>
      <c r="E885" t="s">
        <v>57</v>
      </c>
      <c r="F885" t="s">
        <v>1209</v>
      </c>
      <c r="G885">
        <v>952.5</v>
      </c>
      <c r="H885">
        <v>9</v>
      </c>
      <c r="I885">
        <v>226.5</v>
      </c>
      <c r="J885" t="s">
        <v>29</v>
      </c>
      <c r="K885" s="6">
        <f>tblSales[[#This Row],[Profit]]/tblSales[[#This Row],[Sales]]</f>
        <v>0.23779527559055119</v>
      </c>
      <c r="L885" t="str">
        <f>TEXT(tblSales[[#This Row],[Order Date]],"mmm")</f>
        <v>Sep</v>
      </c>
      <c r="M885">
        <f>YEAR(tblSales[[#This Row],[Order Date]])</f>
        <v>2024</v>
      </c>
    </row>
    <row r="886" spans="1:13">
      <c r="A886" t="s">
        <v>1682</v>
      </c>
      <c r="B886" s="1">
        <v>45548</v>
      </c>
      <c r="C886" t="s">
        <v>33</v>
      </c>
      <c r="D886" t="s">
        <v>21</v>
      </c>
      <c r="E886" t="s">
        <v>57</v>
      </c>
      <c r="F886" t="s">
        <v>1683</v>
      </c>
      <c r="G886">
        <v>370.84</v>
      </c>
      <c r="H886">
        <v>8</v>
      </c>
      <c r="I886">
        <v>94.32</v>
      </c>
      <c r="J886" t="s">
        <v>24</v>
      </c>
      <c r="K886" s="6">
        <f>tblSales[[#This Row],[Profit]]/tblSales[[#This Row],[Sales]]</f>
        <v>0.25434149498435982</v>
      </c>
      <c r="L886" t="str">
        <f>TEXT(tblSales[[#This Row],[Order Date]],"mmm")</f>
        <v>Sep</v>
      </c>
      <c r="M886">
        <f>YEAR(tblSales[[#This Row],[Order Date]])</f>
        <v>2024</v>
      </c>
    </row>
    <row r="887" spans="1:13">
      <c r="A887" t="s">
        <v>1684</v>
      </c>
      <c r="B887" s="1">
        <v>45549</v>
      </c>
      <c r="C887" t="s">
        <v>20</v>
      </c>
      <c r="D887" t="s">
        <v>21</v>
      </c>
      <c r="E887" t="s">
        <v>57</v>
      </c>
      <c r="F887" t="s">
        <v>354</v>
      </c>
      <c r="G887">
        <v>33.619999999999997</v>
      </c>
      <c r="H887">
        <v>9</v>
      </c>
      <c r="I887">
        <v>7.26</v>
      </c>
      <c r="J887" t="s">
        <v>24</v>
      </c>
      <c r="K887" s="6">
        <f>tblSales[[#This Row],[Profit]]/tblSales[[#This Row],[Sales]]</f>
        <v>0.21594289113622844</v>
      </c>
      <c r="L887" t="str">
        <f>TEXT(tblSales[[#This Row],[Order Date]],"mmm")</f>
        <v>Sep</v>
      </c>
      <c r="M887">
        <f>YEAR(tblSales[[#This Row],[Order Date]])</f>
        <v>2024</v>
      </c>
    </row>
    <row r="888" spans="1:13">
      <c r="A888" t="s">
        <v>1685</v>
      </c>
      <c r="B888" s="1">
        <v>45550</v>
      </c>
      <c r="C888" t="s">
        <v>39</v>
      </c>
      <c r="D888" t="s">
        <v>40</v>
      </c>
      <c r="E888" t="s">
        <v>92</v>
      </c>
      <c r="F888" t="s">
        <v>1686</v>
      </c>
      <c r="G888">
        <v>816.76</v>
      </c>
      <c r="H888">
        <v>2</v>
      </c>
      <c r="I888">
        <v>223.7</v>
      </c>
      <c r="J888" t="s">
        <v>29</v>
      </c>
      <c r="K888" s="6">
        <f>tblSales[[#This Row],[Profit]]/tblSales[[#This Row],[Sales]]</f>
        <v>0.27388706596797102</v>
      </c>
      <c r="L888" t="str">
        <f>TEXT(tblSales[[#This Row],[Order Date]],"mmm")</f>
        <v>Sep</v>
      </c>
      <c r="M888">
        <f>YEAR(tblSales[[#This Row],[Order Date]])</f>
        <v>2024</v>
      </c>
    </row>
    <row r="889" spans="1:13">
      <c r="A889" t="s">
        <v>1687</v>
      </c>
      <c r="B889" s="1">
        <v>45551</v>
      </c>
      <c r="C889" t="s">
        <v>33</v>
      </c>
      <c r="D889" t="s">
        <v>21</v>
      </c>
      <c r="E889" t="s">
        <v>89</v>
      </c>
      <c r="F889" t="s">
        <v>312</v>
      </c>
      <c r="G889">
        <v>641.48</v>
      </c>
      <c r="H889">
        <v>7</v>
      </c>
      <c r="I889">
        <v>49.24</v>
      </c>
      <c r="J889" t="s">
        <v>24</v>
      </c>
      <c r="K889" s="6">
        <f>tblSales[[#This Row],[Profit]]/tblSales[[#This Row],[Sales]]</f>
        <v>7.6759992517303741E-2</v>
      </c>
      <c r="L889" t="str">
        <f>TEXT(tblSales[[#This Row],[Order Date]],"mmm")</f>
        <v>Sep</v>
      </c>
      <c r="M889">
        <f>YEAR(tblSales[[#This Row],[Order Date]])</f>
        <v>2024</v>
      </c>
    </row>
    <row r="890" spans="1:13">
      <c r="A890" t="s">
        <v>1688</v>
      </c>
      <c r="B890" s="1">
        <v>45552</v>
      </c>
      <c r="C890" t="s">
        <v>39</v>
      </c>
      <c r="D890" t="s">
        <v>21</v>
      </c>
      <c r="E890" t="s">
        <v>22</v>
      </c>
      <c r="F890" t="s">
        <v>755</v>
      </c>
      <c r="G890">
        <v>1464.83</v>
      </c>
      <c r="H890">
        <v>3</v>
      </c>
      <c r="I890">
        <v>198.52</v>
      </c>
      <c r="J890" t="s">
        <v>29</v>
      </c>
      <c r="K890" s="6">
        <f>tblSales[[#This Row],[Profit]]/tblSales[[#This Row],[Sales]]</f>
        <v>0.13552425878770916</v>
      </c>
      <c r="L890" t="str">
        <f>TEXT(tblSales[[#This Row],[Order Date]],"mmm")</f>
        <v>Sep</v>
      </c>
      <c r="M890">
        <f>YEAR(tblSales[[#This Row],[Order Date]])</f>
        <v>2024</v>
      </c>
    </row>
    <row r="891" spans="1:13">
      <c r="A891" t="s">
        <v>1689</v>
      </c>
      <c r="B891" s="1">
        <v>45553</v>
      </c>
      <c r="C891" t="s">
        <v>20</v>
      </c>
      <c r="D891" t="s">
        <v>21</v>
      </c>
      <c r="E891" t="s">
        <v>89</v>
      </c>
      <c r="F891" t="s">
        <v>97</v>
      </c>
      <c r="G891">
        <v>257.38</v>
      </c>
      <c r="H891">
        <v>1</v>
      </c>
      <c r="I891">
        <v>20.39</v>
      </c>
      <c r="J891" t="s">
        <v>24</v>
      </c>
      <c r="K891" s="6">
        <f>tblSales[[#This Row],[Profit]]/tblSales[[#This Row],[Sales]]</f>
        <v>7.9221384722977697E-2</v>
      </c>
      <c r="L891" t="str">
        <f>TEXT(tblSales[[#This Row],[Order Date]],"mmm")</f>
        <v>Sep</v>
      </c>
      <c r="M891">
        <f>YEAR(tblSales[[#This Row],[Order Date]])</f>
        <v>2024</v>
      </c>
    </row>
    <row r="892" spans="1:13">
      <c r="A892" t="s">
        <v>1690</v>
      </c>
      <c r="B892" s="1">
        <v>45554</v>
      </c>
      <c r="C892" t="s">
        <v>14</v>
      </c>
      <c r="D892" t="s">
        <v>15</v>
      </c>
      <c r="E892" t="s">
        <v>52</v>
      </c>
      <c r="F892" t="s">
        <v>1691</v>
      </c>
      <c r="G892">
        <v>1200.24</v>
      </c>
      <c r="H892">
        <v>9</v>
      </c>
      <c r="I892">
        <v>109.34</v>
      </c>
      <c r="J892" t="s">
        <v>24</v>
      </c>
      <c r="K892" s="6">
        <f>tblSales[[#This Row],[Profit]]/tblSales[[#This Row],[Sales]]</f>
        <v>9.1098446977271208E-2</v>
      </c>
      <c r="L892" t="str">
        <f>TEXT(tblSales[[#This Row],[Order Date]],"mmm")</f>
        <v>Sep</v>
      </c>
      <c r="M892">
        <f>YEAR(tblSales[[#This Row],[Order Date]])</f>
        <v>2024</v>
      </c>
    </row>
    <row r="893" spans="1:13">
      <c r="A893" t="s">
        <v>1692</v>
      </c>
      <c r="B893" s="1">
        <v>45555</v>
      </c>
      <c r="C893" t="s">
        <v>14</v>
      </c>
      <c r="D893" t="s">
        <v>40</v>
      </c>
      <c r="E893" t="s">
        <v>44</v>
      </c>
      <c r="F893" t="s">
        <v>1693</v>
      </c>
      <c r="G893">
        <v>109.59</v>
      </c>
      <c r="H893">
        <v>7</v>
      </c>
      <c r="I893">
        <v>23.53</v>
      </c>
      <c r="J893" t="s">
        <v>24</v>
      </c>
      <c r="K893" s="6">
        <f>tblSales[[#This Row],[Profit]]/tblSales[[#This Row],[Sales]]</f>
        <v>0.21470937129300119</v>
      </c>
      <c r="L893" t="str">
        <f>TEXT(tblSales[[#This Row],[Order Date]],"mmm")</f>
        <v>Sep</v>
      </c>
      <c r="M893">
        <f>YEAR(tblSales[[#This Row],[Order Date]])</f>
        <v>2024</v>
      </c>
    </row>
    <row r="894" spans="1:13">
      <c r="A894" t="s">
        <v>1694</v>
      </c>
      <c r="B894" s="1">
        <v>45556</v>
      </c>
      <c r="C894" t="s">
        <v>33</v>
      </c>
      <c r="D894" t="s">
        <v>21</v>
      </c>
      <c r="E894" t="s">
        <v>22</v>
      </c>
      <c r="F894" t="s">
        <v>1330</v>
      </c>
      <c r="G894">
        <v>1645.54</v>
      </c>
      <c r="H894">
        <v>6</v>
      </c>
      <c r="I894">
        <v>297.49</v>
      </c>
      <c r="J894" t="s">
        <v>29</v>
      </c>
      <c r="K894" s="6">
        <f>tblSales[[#This Row],[Profit]]/tblSales[[#This Row],[Sales]]</f>
        <v>0.18078563875688225</v>
      </c>
      <c r="L894" t="str">
        <f>TEXT(tblSales[[#This Row],[Order Date]],"mmm")</f>
        <v>Sep</v>
      </c>
      <c r="M894">
        <f>YEAR(tblSales[[#This Row],[Order Date]])</f>
        <v>2024</v>
      </c>
    </row>
    <row r="895" spans="1:13">
      <c r="A895" t="s">
        <v>1695</v>
      </c>
      <c r="B895" s="1">
        <v>45557</v>
      </c>
      <c r="C895" t="s">
        <v>33</v>
      </c>
      <c r="D895" t="s">
        <v>73</v>
      </c>
      <c r="E895" t="s">
        <v>164</v>
      </c>
      <c r="F895" t="s">
        <v>1531</v>
      </c>
      <c r="G895">
        <v>833.5</v>
      </c>
      <c r="H895">
        <v>9</v>
      </c>
      <c r="I895">
        <v>238.1</v>
      </c>
      <c r="J895" t="s">
        <v>24</v>
      </c>
      <c r="K895" s="6">
        <f>tblSales[[#This Row],[Profit]]/tblSales[[#This Row],[Sales]]</f>
        <v>0.2856628674265147</v>
      </c>
      <c r="L895" t="str">
        <f>TEXT(tblSales[[#This Row],[Order Date]],"mmm")</f>
        <v>Sep</v>
      </c>
      <c r="M895">
        <f>YEAR(tblSales[[#This Row],[Order Date]])</f>
        <v>2024</v>
      </c>
    </row>
    <row r="896" spans="1:13">
      <c r="A896" t="s">
        <v>1696</v>
      </c>
      <c r="B896" s="1">
        <v>45558</v>
      </c>
      <c r="C896" t="s">
        <v>14</v>
      </c>
      <c r="D896" t="s">
        <v>40</v>
      </c>
      <c r="E896" t="s">
        <v>41</v>
      </c>
      <c r="F896" t="s">
        <v>1697</v>
      </c>
      <c r="G896">
        <v>1564.38</v>
      </c>
      <c r="H896">
        <v>5</v>
      </c>
      <c r="I896">
        <v>259.68</v>
      </c>
      <c r="J896" t="s">
        <v>29</v>
      </c>
      <c r="K896" s="6">
        <f>tblSales[[#This Row],[Profit]]/tblSales[[#This Row],[Sales]]</f>
        <v>0.16599547424538794</v>
      </c>
      <c r="L896" t="str">
        <f>TEXT(tblSales[[#This Row],[Order Date]],"mmm")</f>
        <v>Sep</v>
      </c>
      <c r="M896">
        <f>YEAR(tblSales[[#This Row],[Order Date]])</f>
        <v>2024</v>
      </c>
    </row>
    <row r="897" spans="1:13">
      <c r="A897" t="s">
        <v>1698</v>
      </c>
      <c r="B897" s="1">
        <v>45559</v>
      </c>
      <c r="C897" t="s">
        <v>14</v>
      </c>
      <c r="D897" t="s">
        <v>15</v>
      </c>
      <c r="E897" t="s">
        <v>16</v>
      </c>
      <c r="F897" t="s">
        <v>1699</v>
      </c>
      <c r="G897">
        <v>1961.53</v>
      </c>
      <c r="H897">
        <v>5</v>
      </c>
      <c r="I897">
        <v>131.05000000000001</v>
      </c>
      <c r="J897" t="s">
        <v>29</v>
      </c>
      <c r="K897" s="6">
        <f>tblSales[[#This Row],[Profit]]/tblSales[[#This Row],[Sales]]</f>
        <v>6.6810092121966022E-2</v>
      </c>
      <c r="L897" t="str">
        <f>TEXT(tblSales[[#This Row],[Order Date]],"mmm")</f>
        <v>Sep</v>
      </c>
      <c r="M897">
        <f>YEAR(tblSales[[#This Row],[Order Date]])</f>
        <v>2024</v>
      </c>
    </row>
    <row r="898" spans="1:13">
      <c r="A898" t="s">
        <v>1700</v>
      </c>
      <c r="B898" s="1">
        <v>45560</v>
      </c>
      <c r="C898" t="s">
        <v>14</v>
      </c>
      <c r="D898" t="s">
        <v>21</v>
      </c>
      <c r="E898" t="s">
        <v>57</v>
      </c>
      <c r="F898" t="s">
        <v>1701</v>
      </c>
      <c r="G898">
        <v>1405.42</v>
      </c>
      <c r="H898">
        <v>3</v>
      </c>
      <c r="I898">
        <v>301.70999999999998</v>
      </c>
      <c r="J898" t="s">
        <v>29</v>
      </c>
      <c r="K898" s="6">
        <f>tblSales[[#This Row],[Profit]]/tblSales[[#This Row],[Sales]]</f>
        <v>0.21467603990266251</v>
      </c>
      <c r="L898" t="str">
        <f>TEXT(tblSales[[#This Row],[Order Date]],"mmm")</f>
        <v>Sep</v>
      </c>
      <c r="M898">
        <f>YEAR(tblSales[[#This Row],[Order Date]])</f>
        <v>2024</v>
      </c>
    </row>
    <row r="899" spans="1:13">
      <c r="A899" t="s">
        <v>1702</v>
      </c>
      <c r="B899" s="1">
        <v>45561</v>
      </c>
      <c r="C899" t="s">
        <v>20</v>
      </c>
      <c r="D899" t="s">
        <v>40</v>
      </c>
      <c r="E899" t="s">
        <v>44</v>
      </c>
      <c r="F899" t="s">
        <v>1703</v>
      </c>
      <c r="G899">
        <v>1748.76</v>
      </c>
      <c r="H899">
        <v>8</v>
      </c>
      <c r="I899">
        <v>217</v>
      </c>
      <c r="J899" t="s">
        <v>18</v>
      </c>
      <c r="K899" s="6">
        <f>tblSales[[#This Row],[Profit]]/tblSales[[#This Row],[Sales]]</f>
        <v>0.12408792515839795</v>
      </c>
      <c r="L899" t="str">
        <f>TEXT(tblSales[[#This Row],[Order Date]],"mmm")</f>
        <v>Sep</v>
      </c>
      <c r="M899">
        <f>YEAR(tblSales[[#This Row],[Order Date]])</f>
        <v>2024</v>
      </c>
    </row>
    <row r="900" spans="1:13">
      <c r="A900" t="s">
        <v>1704</v>
      </c>
      <c r="B900" s="1">
        <v>45562</v>
      </c>
      <c r="C900" t="s">
        <v>14</v>
      </c>
      <c r="D900" t="s">
        <v>26</v>
      </c>
      <c r="E900" t="s">
        <v>34</v>
      </c>
      <c r="F900" t="s">
        <v>1705</v>
      </c>
      <c r="G900">
        <v>1641.11</v>
      </c>
      <c r="H900">
        <v>9</v>
      </c>
      <c r="I900">
        <v>95.09</v>
      </c>
      <c r="J900" t="s">
        <v>24</v>
      </c>
      <c r="K900" s="6">
        <f>tblSales[[#This Row],[Profit]]/tblSales[[#This Row],[Sales]]</f>
        <v>5.794249014386605E-2</v>
      </c>
      <c r="L900" t="str">
        <f>TEXT(tblSales[[#This Row],[Order Date]],"mmm")</f>
        <v>Sep</v>
      </c>
      <c r="M900">
        <f>YEAR(tblSales[[#This Row],[Order Date]])</f>
        <v>2024</v>
      </c>
    </row>
    <row r="901" spans="1:13">
      <c r="A901" t="s">
        <v>1706</v>
      </c>
      <c r="B901" s="1">
        <v>45563</v>
      </c>
      <c r="C901" t="s">
        <v>39</v>
      </c>
      <c r="D901" t="s">
        <v>15</v>
      </c>
      <c r="E901" t="s">
        <v>79</v>
      </c>
      <c r="F901" t="s">
        <v>1707</v>
      </c>
      <c r="G901">
        <v>708.09</v>
      </c>
      <c r="H901">
        <v>7</v>
      </c>
      <c r="I901">
        <v>55.89</v>
      </c>
      <c r="J901" t="s">
        <v>29</v>
      </c>
      <c r="K901" s="6">
        <f>tblSales[[#This Row],[Profit]]/tblSales[[#This Row],[Sales]]</f>
        <v>7.8930644409608952E-2</v>
      </c>
      <c r="L901" t="str">
        <f>TEXT(tblSales[[#This Row],[Order Date]],"mmm")</f>
        <v>Sep</v>
      </c>
      <c r="M901">
        <f>YEAR(tblSales[[#This Row],[Order Date]])</f>
        <v>2024</v>
      </c>
    </row>
    <row r="902" spans="1:13">
      <c r="A902" t="s">
        <v>1708</v>
      </c>
      <c r="B902" s="1">
        <v>45564</v>
      </c>
      <c r="C902" t="s">
        <v>39</v>
      </c>
      <c r="D902" t="s">
        <v>73</v>
      </c>
      <c r="E902" t="s">
        <v>84</v>
      </c>
      <c r="F902" t="s">
        <v>109</v>
      </c>
      <c r="G902">
        <v>926.7</v>
      </c>
      <c r="H902">
        <v>8</v>
      </c>
      <c r="I902">
        <v>275.56</v>
      </c>
      <c r="J902" t="s">
        <v>18</v>
      </c>
      <c r="K902" s="6">
        <f>tblSales[[#This Row],[Profit]]/tblSales[[#This Row],[Sales]]</f>
        <v>0.29735621020826586</v>
      </c>
      <c r="L902" t="str">
        <f>TEXT(tblSales[[#This Row],[Order Date]],"mmm")</f>
        <v>Sep</v>
      </c>
      <c r="M902">
        <f>YEAR(tblSales[[#This Row],[Order Date]])</f>
        <v>2024</v>
      </c>
    </row>
    <row r="903" spans="1:13">
      <c r="A903" t="s">
        <v>1709</v>
      </c>
      <c r="B903" s="1">
        <v>45565</v>
      </c>
      <c r="C903" t="s">
        <v>14</v>
      </c>
      <c r="D903" t="s">
        <v>15</v>
      </c>
      <c r="E903" t="s">
        <v>52</v>
      </c>
      <c r="F903" t="s">
        <v>1710</v>
      </c>
      <c r="G903">
        <v>293.01</v>
      </c>
      <c r="H903">
        <v>6</v>
      </c>
      <c r="I903">
        <v>80.41</v>
      </c>
      <c r="J903" t="s">
        <v>18</v>
      </c>
      <c r="K903" s="6">
        <f>tblSales[[#This Row],[Profit]]/tblSales[[#This Row],[Sales]]</f>
        <v>0.2744274939421863</v>
      </c>
      <c r="L903" t="str">
        <f>TEXT(tblSales[[#This Row],[Order Date]],"mmm")</f>
        <v>Sep</v>
      </c>
      <c r="M903">
        <f>YEAR(tblSales[[#This Row],[Order Date]])</f>
        <v>2024</v>
      </c>
    </row>
    <row r="904" spans="1:13">
      <c r="A904" t="s">
        <v>1711</v>
      </c>
      <c r="B904" s="1">
        <v>45566</v>
      </c>
      <c r="C904" t="s">
        <v>20</v>
      </c>
      <c r="D904" t="s">
        <v>26</v>
      </c>
      <c r="E904" t="s">
        <v>34</v>
      </c>
      <c r="F904" t="s">
        <v>35</v>
      </c>
      <c r="G904">
        <v>965.15</v>
      </c>
      <c r="H904">
        <v>8</v>
      </c>
      <c r="I904">
        <v>86.45</v>
      </c>
      <c r="J904" t="s">
        <v>29</v>
      </c>
      <c r="K904" s="6">
        <f>tblSales[[#This Row],[Profit]]/tblSales[[#This Row],[Sales]]</f>
        <v>8.9571569186136873E-2</v>
      </c>
      <c r="L904" t="str">
        <f>TEXT(tblSales[[#This Row],[Order Date]],"mmm")</f>
        <v>Oct</v>
      </c>
      <c r="M904">
        <f>YEAR(tblSales[[#This Row],[Order Date]])</f>
        <v>2024</v>
      </c>
    </row>
    <row r="905" spans="1:13">
      <c r="A905" t="s">
        <v>1712</v>
      </c>
      <c r="B905" s="1">
        <v>45567</v>
      </c>
      <c r="C905" t="s">
        <v>33</v>
      </c>
      <c r="D905" t="s">
        <v>73</v>
      </c>
      <c r="E905" t="s">
        <v>74</v>
      </c>
      <c r="F905" t="s">
        <v>1713</v>
      </c>
      <c r="G905">
        <v>328.95</v>
      </c>
      <c r="H905">
        <v>6</v>
      </c>
      <c r="I905">
        <v>54.83</v>
      </c>
      <c r="J905" t="s">
        <v>29</v>
      </c>
      <c r="K905" s="6">
        <f>tblSales[[#This Row],[Profit]]/tblSales[[#This Row],[Sales]]</f>
        <v>0.16668186654506764</v>
      </c>
      <c r="L905" t="str">
        <f>TEXT(tblSales[[#This Row],[Order Date]],"mmm")</f>
        <v>Oct</v>
      </c>
      <c r="M905">
        <f>YEAR(tblSales[[#This Row],[Order Date]])</f>
        <v>2024</v>
      </c>
    </row>
    <row r="906" spans="1:13">
      <c r="A906" t="s">
        <v>1714</v>
      </c>
      <c r="B906" s="1">
        <v>45568</v>
      </c>
      <c r="C906" t="s">
        <v>33</v>
      </c>
      <c r="D906" t="s">
        <v>15</v>
      </c>
      <c r="E906" t="s">
        <v>60</v>
      </c>
      <c r="F906" t="s">
        <v>1715</v>
      </c>
      <c r="G906">
        <v>1685</v>
      </c>
      <c r="H906">
        <v>8</v>
      </c>
      <c r="I906">
        <v>424.79</v>
      </c>
      <c r="J906" t="s">
        <v>24</v>
      </c>
      <c r="K906" s="6">
        <f>tblSales[[#This Row],[Profit]]/tblSales[[#This Row],[Sales]]</f>
        <v>0.25210089020771514</v>
      </c>
      <c r="L906" t="str">
        <f>TEXT(tblSales[[#This Row],[Order Date]],"mmm")</f>
        <v>Oct</v>
      </c>
      <c r="M906">
        <f>YEAR(tblSales[[#This Row],[Order Date]])</f>
        <v>2024</v>
      </c>
    </row>
    <row r="907" spans="1:13">
      <c r="A907" t="s">
        <v>1716</v>
      </c>
      <c r="B907" s="1">
        <v>45569</v>
      </c>
      <c r="C907" t="s">
        <v>20</v>
      </c>
      <c r="D907" t="s">
        <v>15</v>
      </c>
      <c r="E907" t="s">
        <v>52</v>
      </c>
      <c r="F907" t="s">
        <v>1717</v>
      </c>
      <c r="G907">
        <v>1567.38</v>
      </c>
      <c r="H907">
        <v>5</v>
      </c>
      <c r="I907">
        <v>158.4</v>
      </c>
      <c r="J907" t="s">
        <v>24</v>
      </c>
      <c r="K907" s="6">
        <f>tblSales[[#This Row],[Profit]]/tblSales[[#This Row],[Sales]]</f>
        <v>0.10106036825785705</v>
      </c>
      <c r="L907" t="str">
        <f>TEXT(tblSales[[#This Row],[Order Date]],"mmm")</f>
        <v>Oct</v>
      </c>
      <c r="M907">
        <f>YEAR(tblSales[[#This Row],[Order Date]])</f>
        <v>2024</v>
      </c>
    </row>
    <row r="908" spans="1:13">
      <c r="A908" t="s">
        <v>1718</v>
      </c>
      <c r="B908" s="1">
        <v>45570</v>
      </c>
      <c r="C908" t="s">
        <v>39</v>
      </c>
      <c r="D908" t="s">
        <v>73</v>
      </c>
      <c r="E908" t="s">
        <v>164</v>
      </c>
      <c r="F908" t="s">
        <v>1719</v>
      </c>
      <c r="G908">
        <v>1364.81</v>
      </c>
      <c r="H908">
        <v>1</v>
      </c>
      <c r="I908">
        <v>211.81</v>
      </c>
      <c r="J908" t="s">
        <v>18</v>
      </c>
      <c r="K908" s="6">
        <f>tblSales[[#This Row],[Profit]]/tblSales[[#This Row],[Sales]]</f>
        <v>0.15519376323444289</v>
      </c>
      <c r="L908" t="str">
        <f>TEXT(tblSales[[#This Row],[Order Date]],"mmm")</f>
        <v>Oct</v>
      </c>
      <c r="M908">
        <f>YEAR(tblSales[[#This Row],[Order Date]])</f>
        <v>2024</v>
      </c>
    </row>
    <row r="909" spans="1:13">
      <c r="A909" t="s">
        <v>1720</v>
      </c>
      <c r="B909" s="1">
        <v>45571</v>
      </c>
      <c r="C909" t="s">
        <v>39</v>
      </c>
      <c r="D909" t="s">
        <v>73</v>
      </c>
      <c r="E909" t="s">
        <v>84</v>
      </c>
      <c r="F909" t="s">
        <v>1721</v>
      </c>
      <c r="G909">
        <v>961.68</v>
      </c>
      <c r="H909">
        <v>4</v>
      </c>
      <c r="I909">
        <v>108.13</v>
      </c>
      <c r="J909" t="s">
        <v>29</v>
      </c>
      <c r="K909" s="6">
        <f>tblSales[[#This Row],[Profit]]/tblSales[[#This Row],[Sales]]</f>
        <v>0.11243864903086266</v>
      </c>
      <c r="L909" t="str">
        <f>TEXT(tblSales[[#This Row],[Order Date]],"mmm")</f>
        <v>Oct</v>
      </c>
      <c r="M909">
        <f>YEAR(tblSales[[#This Row],[Order Date]])</f>
        <v>2024</v>
      </c>
    </row>
    <row r="910" spans="1:13">
      <c r="A910" t="s">
        <v>1722</v>
      </c>
      <c r="B910" s="1">
        <v>45572</v>
      </c>
      <c r="C910" t="s">
        <v>33</v>
      </c>
      <c r="D910" t="s">
        <v>40</v>
      </c>
      <c r="E910" t="s">
        <v>44</v>
      </c>
      <c r="F910" t="s">
        <v>1167</v>
      </c>
      <c r="G910">
        <v>1246.0899999999999</v>
      </c>
      <c r="H910">
        <v>4</v>
      </c>
      <c r="I910">
        <v>237.44</v>
      </c>
      <c r="J910" t="s">
        <v>24</v>
      </c>
      <c r="K910" s="6">
        <f>tblSales[[#This Row],[Profit]]/tblSales[[#This Row],[Sales]]</f>
        <v>0.19054803425113756</v>
      </c>
      <c r="L910" t="str">
        <f>TEXT(tblSales[[#This Row],[Order Date]],"mmm")</f>
        <v>Oct</v>
      </c>
      <c r="M910">
        <f>YEAR(tblSales[[#This Row],[Order Date]])</f>
        <v>2024</v>
      </c>
    </row>
    <row r="911" spans="1:13">
      <c r="A911" t="s">
        <v>1723</v>
      </c>
      <c r="B911" s="1">
        <v>45573</v>
      </c>
      <c r="C911" t="s">
        <v>39</v>
      </c>
      <c r="D911" t="s">
        <v>73</v>
      </c>
      <c r="E911" t="s">
        <v>74</v>
      </c>
      <c r="F911" t="s">
        <v>169</v>
      </c>
      <c r="G911">
        <v>463.49</v>
      </c>
      <c r="H911">
        <v>7</v>
      </c>
      <c r="I911">
        <v>82.54</v>
      </c>
      <c r="J911" t="s">
        <v>24</v>
      </c>
      <c r="K911" s="6">
        <f>tblSales[[#This Row],[Profit]]/tblSales[[#This Row],[Sales]]</f>
        <v>0.17808366955058363</v>
      </c>
      <c r="L911" t="str">
        <f>TEXT(tblSales[[#This Row],[Order Date]],"mmm")</f>
        <v>Oct</v>
      </c>
      <c r="M911">
        <f>YEAR(tblSales[[#This Row],[Order Date]])</f>
        <v>2024</v>
      </c>
    </row>
    <row r="912" spans="1:13">
      <c r="A912" t="s">
        <v>1724</v>
      </c>
      <c r="B912" s="1">
        <v>45574</v>
      </c>
      <c r="C912" t="s">
        <v>39</v>
      </c>
      <c r="D912" t="s">
        <v>21</v>
      </c>
      <c r="E912" t="s">
        <v>57</v>
      </c>
      <c r="F912" t="s">
        <v>1725</v>
      </c>
      <c r="G912">
        <v>172.07</v>
      </c>
      <c r="H912">
        <v>3</v>
      </c>
      <c r="I912">
        <v>18.559999999999999</v>
      </c>
      <c r="J912" t="s">
        <v>24</v>
      </c>
      <c r="K912" s="6">
        <f>tblSales[[#This Row],[Profit]]/tblSales[[#This Row],[Sales]]</f>
        <v>0.10786307897948509</v>
      </c>
      <c r="L912" t="str">
        <f>TEXT(tblSales[[#This Row],[Order Date]],"mmm")</f>
        <v>Oct</v>
      </c>
      <c r="M912">
        <f>YEAR(tblSales[[#This Row],[Order Date]])</f>
        <v>2024</v>
      </c>
    </row>
    <row r="913" spans="1:13">
      <c r="A913" t="s">
        <v>1726</v>
      </c>
      <c r="B913" s="1">
        <v>45575</v>
      </c>
      <c r="C913" t="s">
        <v>20</v>
      </c>
      <c r="D913" t="s">
        <v>73</v>
      </c>
      <c r="E913" t="s">
        <v>84</v>
      </c>
      <c r="F913" t="s">
        <v>1727</v>
      </c>
      <c r="G913">
        <v>1881.56</v>
      </c>
      <c r="H913">
        <v>8</v>
      </c>
      <c r="I913">
        <v>244.44</v>
      </c>
      <c r="J913" t="s">
        <v>29</v>
      </c>
      <c r="K913" s="6">
        <f>tblSales[[#This Row],[Profit]]/tblSales[[#This Row],[Sales]]</f>
        <v>0.12991347605178682</v>
      </c>
      <c r="L913" t="str">
        <f>TEXT(tblSales[[#This Row],[Order Date]],"mmm")</f>
        <v>Oct</v>
      </c>
      <c r="M913">
        <f>YEAR(tblSales[[#This Row],[Order Date]])</f>
        <v>2024</v>
      </c>
    </row>
    <row r="914" spans="1:13">
      <c r="A914" t="s">
        <v>1728</v>
      </c>
      <c r="B914" s="1">
        <v>45576</v>
      </c>
      <c r="C914" t="s">
        <v>14</v>
      </c>
      <c r="D914" t="s">
        <v>21</v>
      </c>
      <c r="E914" t="s">
        <v>22</v>
      </c>
      <c r="F914" t="s">
        <v>1647</v>
      </c>
      <c r="G914">
        <v>1800.54</v>
      </c>
      <c r="H914">
        <v>2</v>
      </c>
      <c r="I914">
        <v>137.68</v>
      </c>
      <c r="J914" t="s">
        <v>18</v>
      </c>
      <c r="K914" s="6">
        <f>tblSales[[#This Row],[Profit]]/tblSales[[#This Row],[Sales]]</f>
        <v>7.6465949104157646E-2</v>
      </c>
      <c r="L914" t="str">
        <f>TEXT(tblSales[[#This Row],[Order Date]],"mmm")</f>
        <v>Oct</v>
      </c>
      <c r="M914">
        <f>YEAR(tblSales[[#This Row],[Order Date]])</f>
        <v>2024</v>
      </c>
    </row>
    <row r="915" spans="1:13">
      <c r="A915" t="s">
        <v>1729</v>
      </c>
      <c r="B915" s="1">
        <v>45577</v>
      </c>
      <c r="C915" t="s">
        <v>20</v>
      </c>
      <c r="D915" t="s">
        <v>21</v>
      </c>
      <c r="E915" t="s">
        <v>89</v>
      </c>
      <c r="F915" t="s">
        <v>1730</v>
      </c>
      <c r="G915">
        <v>1072.69</v>
      </c>
      <c r="H915">
        <v>5</v>
      </c>
      <c r="I915">
        <v>72.44</v>
      </c>
      <c r="J915" t="s">
        <v>24</v>
      </c>
      <c r="K915" s="6">
        <f>tblSales[[#This Row],[Profit]]/tblSales[[#This Row],[Sales]]</f>
        <v>6.7531159980982386E-2</v>
      </c>
      <c r="L915" t="str">
        <f>TEXT(tblSales[[#This Row],[Order Date]],"mmm")</f>
        <v>Oct</v>
      </c>
      <c r="M915">
        <f>YEAR(tblSales[[#This Row],[Order Date]])</f>
        <v>2024</v>
      </c>
    </row>
    <row r="916" spans="1:13">
      <c r="A916" t="s">
        <v>1731</v>
      </c>
      <c r="B916" s="1">
        <v>45578</v>
      </c>
      <c r="C916" t="s">
        <v>14</v>
      </c>
      <c r="D916" t="s">
        <v>40</v>
      </c>
      <c r="E916" t="s">
        <v>41</v>
      </c>
      <c r="F916" t="s">
        <v>786</v>
      </c>
      <c r="G916">
        <v>102.99</v>
      </c>
      <c r="H916">
        <v>2</v>
      </c>
      <c r="I916">
        <v>19.489999999999998</v>
      </c>
      <c r="J916" t="s">
        <v>18</v>
      </c>
      <c r="K916" s="6">
        <f>tblSales[[#This Row],[Profit]]/tblSales[[#This Row],[Sales]]</f>
        <v>0.18924167394892707</v>
      </c>
      <c r="L916" t="str">
        <f>TEXT(tblSales[[#This Row],[Order Date]],"mmm")</f>
        <v>Oct</v>
      </c>
      <c r="M916">
        <f>YEAR(tblSales[[#This Row],[Order Date]])</f>
        <v>2024</v>
      </c>
    </row>
    <row r="917" spans="1:13">
      <c r="A917" t="s">
        <v>1732</v>
      </c>
      <c r="B917" s="1">
        <v>45579</v>
      </c>
      <c r="C917" t="s">
        <v>14</v>
      </c>
      <c r="D917" t="s">
        <v>15</v>
      </c>
      <c r="E917" t="s">
        <v>52</v>
      </c>
      <c r="F917" t="s">
        <v>1733</v>
      </c>
      <c r="G917">
        <v>1937.98</v>
      </c>
      <c r="H917">
        <v>9</v>
      </c>
      <c r="I917">
        <v>248.57</v>
      </c>
      <c r="J917" t="s">
        <v>24</v>
      </c>
      <c r="K917" s="6">
        <f>tblSales[[#This Row],[Profit]]/tblSales[[#This Row],[Sales]]</f>
        <v>0.12826241756880877</v>
      </c>
      <c r="L917" t="str">
        <f>TEXT(tblSales[[#This Row],[Order Date]],"mmm")</f>
        <v>Oct</v>
      </c>
      <c r="M917">
        <f>YEAR(tblSales[[#This Row],[Order Date]])</f>
        <v>2024</v>
      </c>
    </row>
    <row r="918" spans="1:13">
      <c r="A918" t="s">
        <v>1734</v>
      </c>
      <c r="B918" s="1">
        <v>45580</v>
      </c>
      <c r="C918" t="s">
        <v>20</v>
      </c>
      <c r="D918" t="s">
        <v>21</v>
      </c>
      <c r="E918" t="s">
        <v>57</v>
      </c>
      <c r="F918" t="s">
        <v>1735</v>
      </c>
      <c r="G918">
        <v>1834.51</v>
      </c>
      <c r="H918">
        <v>9</v>
      </c>
      <c r="I918">
        <v>222.76</v>
      </c>
      <c r="J918" t="s">
        <v>24</v>
      </c>
      <c r="K918" s="6">
        <f>tblSales[[#This Row],[Profit]]/tblSales[[#This Row],[Sales]]</f>
        <v>0.12142752015524581</v>
      </c>
      <c r="L918" t="str">
        <f>TEXT(tblSales[[#This Row],[Order Date]],"mmm")</f>
        <v>Oct</v>
      </c>
      <c r="M918">
        <f>YEAR(tblSales[[#This Row],[Order Date]])</f>
        <v>2024</v>
      </c>
    </row>
    <row r="919" spans="1:13">
      <c r="A919" t="s">
        <v>1736</v>
      </c>
      <c r="B919" s="1">
        <v>45581</v>
      </c>
      <c r="C919" t="s">
        <v>39</v>
      </c>
      <c r="D919" t="s">
        <v>21</v>
      </c>
      <c r="E919" t="s">
        <v>57</v>
      </c>
      <c r="F919" t="s">
        <v>1737</v>
      </c>
      <c r="G919">
        <v>105.24</v>
      </c>
      <c r="H919">
        <v>5</v>
      </c>
      <c r="I919">
        <v>16.53</v>
      </c>
      <c r="J919" t="s">
        <v>29</v>
      </c>
      <c r="K919" s="6">
        <f>tblSales[[#This Row],[Profit]]/tblSales[[#This Row],[Sales]]</f>
        <v>0.15706955530216649</v>
      </c>
      <c r="L919" t="str">
        <f>TEXT(tblSales[[#This Row],[Order Date]],"mmm")</f>
        <v>Oct</v>
      </c>
      <c r="M919">
        <f>YEAR(tblSales[[#This Row],[Order Date]])</f>
        <v>2024</v>
      </c>
    </row>
    <row r="920" spans="1:13">
      <c r="A920" t="s">
        <v>1738</v>
      </c>
      <c r="B920" s="1">
        <v>45582</v>
      </c>
      <c r="C920" t="s">
        <v>33</v>
      </c>
      <c r="D920" t="s">
        <v>21</v>
      </c>
      <c r="E920" t="s">
        <v>57</v>
      </c>
      <c r="F920" t="s">
        <v>1739</v>
      </c>
      <c r="G920">
        <v>1652.45</v>
      </c>
      <c r="H920">
        <v>7</v>
      </c>
      <c r="I920">
        <v>426.72</v>
      </c>
      <c r="J920" t="s">
        <v>29</v>
      </c>
      <c r="K920" s="6">
        <f>tblSales[[#This Row],[Profit]]/tblSales[[#This Row],[Sales]]</f>
        <v>0.25823474235226485</v>
      </c>
      <c r="L920" t="str">
        <f>TEXT(tblSales[[#This Row],[Order Date]],"mmm")</f>
        <v>Oct</v>
      </c>
      <c r="M920">
        <f>YEAR(tblSales[[#This Row],[Order Date]])</f>
        <v>2024</v>
      </c>
    </row>
    <row r="921" spans="1:13">
      <c r="A921" t="s">
        <v>1740</v>
      </c>
      <c r="B921" s="1">
        <v>45583</v>
      </c>
      <c r="C921" t="s">
        <v>14</v>
      </c>
      <c r="D921" t="s">
        <v>26</v>
      </c>
      <c r="E921" t="s">
        <v>49</v>
      </c>
      <c r="F921" t="s">
        <v>729</v>
      </c>
      <c r="G921">
        <v>770.5</v>
      </c>
      <c r="H921">
        <v>7</v>
      </c>
      <c r="I921">
        <v>134.93</v>
      </c>
      <c r="J921" t="s">
        <v>29</v>
      </c>
      <c r="K921" s="6">
        <f>tblSales[[#This Row],[Profit]]/tblSales[[#This Row],[Sales]]</f>
        <v>0.17512005191434135</v>
      </c>
      <c r="L921" t="str">
        <f>TEXT(tblSales[[#This Row],[Order Date]],"mmm")</f>
        <v>Oct</v>
      </c>
      <c r="M921">
        <f>YEAR(tblSales[[#This Row],[Order Date]])</f>
        <v>2024</v>
      </c>
    </row>
    <row r="922" spans="1:13">
      <c r="A922" t="s">
        <v>1741</v>
      </c>
      <c r="B922" s="1">
        <v>45584</v>
      </c>
      <c r="C922" t="s">
        <v>39</v>
      </c>
      <c r="D922" t="s">
        <v>26</v>
      </c>
      <c r="E922" t="s">
        <v>49</v>
      </c>
      <c r="F922" t="s">
        <v>1742</v>
      </c>
      <c r="G922">
        <v>514.02</v>
      </c>
      <c r="H922">
        <v>9</v>
      </c>
      <c r="I922">
        <v>65.34</v>
      </c>
      <c r="J922" t="s">
        <v>29</v>
      </c>
      <c r="K922" s="6">
        <f>tblSales[[#This Row],[Profit]]/tblSales[[#This Row],[Sales]]</f>
        <v>0.12711567643282365</v>
      </c>
      <c r="L922" t="str">
        <f>TEXT(tblSales[[#This Row],[Order Date]],"mmm")</f>
        <v>Oct</v>
      </c>
      <c r="M922">
        <f>YEAR(tblSales[[#This Row],[Order Date]])</f>
        <v>2024</v>
      </c>
    </row>
    <row r="923" spans="1:13">
      <c r="A923" t="s">
        <v>1743</v>
      </c>
      <c r="B923" s="1">
        <v>45585</v>
      </c>
      <c r="C923" t="s">
        <v>20</v>
      </c>
      <c r="D923" t="s">
        <v>21</v>
      </c>
      <c r="E923" t="s">
        <v>89</v>
      </c>
      <c r="F923" t="s">
        <v>1461</v>
      </c>
      <c r="G923">
        <v>663.92</v>
      </c>
      <c r="H923">
        <v>3</v>
      </c>
      <c r="I923">
        <v>170.71</v>
      </c>
      <c r="J923" t="s">
        <v>29</v>
      </c>
      <c r="K923" s="6">
        <f>tblSales[[#This Row],[Profit]]/tblSales[[#This Row],[Sales]]</f>
        <v>0.25712435233160624</v>
      </c>
      <c r="L923" t="str">
        <f>TEXT(tblSales[[#This Row],[Order Date]],"mmm")</f>
        <v>Oct</v>
      </c>
      <c r="M923">
        <f>YEAR(tblSales[[#This Row],[Order Date]])</f>
        <v>2024</v>
      </c>
    </row>
    <row r="924" spans="1:13">
      <c r="A924" t="s">
        <v>1744</v>
      </c>
      <c r="B924" s="1">
        <v>45586</v>
      </c>
      <c r="C924" t="s">
        <v>14</v>
      </c>
      <c r="D924" t="s">
        <v>40</v>
      </c>
      <c r="E924" t="s">
        <v>92</v>
      </c>
      <c r="F924" t="s">
        <v>1629</v>
      </c>
      <c r="G924">
        <v>1932.18</v>
      </c>
      <c r="H924">
        <v>4</v>
      </c>
      <c r="I924">
        <v>209.59</v>
      </c>
      <c r="J924" t="s">
        <v>24</v>
      </c>
      <c r="K924" s="6">
        <f>tblSales[[#This Row],[Profit]]/tblSales[[#This Row],[Sales]]</f>
        <v>0.10847333064207268</v>
      </c>
      <c r="L924" t="str">
        <f>TEXT(tblSales[[#This Row],[Order Date]],"mmm")</f>
        <v>Oct</v>
      </c>
      <c r="M924">
        <f>YEAR(tblSales[[#This Row],[Order Date]])</f>
        <v>2024</v>
      </c>
    </row>
    <row r="925" spans="1:13">
      <c r="A925" t="s">
        <v>1745</v>
      </c>
      <c r="B925" s="1">
        <v>45587</v>
      </c>
      <c r="C925" t="s">
        <v>33</v>
      </c>
      <c r="D925" t="s">
        <v>26</v>
      </c>
      <c r="E925" t="s">
        <v>27</v>
      </c>
      <c r="F925" t="s">
        <v>1746</v>
      </c>
      <c r="G925">
        <v>892.34</v>
      </c>
      <c r="H925">
        <v>1</v>
      </c>
      <c r="I925">
        <v>133.9</v>
      </c>
      <c r="J925" t="s">
        <v>18</v>
      </c>
      <c r="K925" s="6">
        <f>tblSales[[#This Row],[Profit]]/tblSales[[#This Row],[Sales]]</f>
        <v>0.1500549118049174</v>
      </c>
      <c r="L925" t="str">
        <f>TEXT(tblSales[[#This Row],[Order Date]],"mmm")</f>
        <v>Oct</v>
      </c>
      <c r="M925">
        <f>YEAR(tblSales[[#This Row],[Order Date]])</f>
        <v>2024</v>
      </c>
    </row>
    <row r="926" spans="1:13">
      <c r="A926" t="s">
        <v>1747</v>
      </c>
      <c r="B926" s="1">
        <v>45588</v>
      </c>
      <c r="C926" t="s">
        <v>20</v>
      </c>
      <c r="D926" t="s">
        <v>15</v>
      </c>
      <c r="E926" t="s">
        <v>79</v>
      </c>
      <c r="F926" t="s">
        <v>1748</v>
      </c>
      <c r="G926">
        <v>1214.99</v>
      </c>
      <c r="H926">
        <v>7</v>
      </c>
      <c r="I926">
        <v>200.37</v>
      </c>
      <c r="J926" t="s">
        <v>29</v>
      </c>
      <c r="K926" s="6">
        <f>tblSales[[#This Row],[Profit]]/tblSales[[#This Row],[Sales]]</f>
        <v>0.16491493757150266</v>
      </c>
      <c r="L926" t="str">
        <f>TEXT(tblSales[[#This Row],[Order Date]],"mmm")</f>
        <v>Oct</v>
      </c>
      <c r="M926">
        <f>YEAR(tblSales[[#This Row],[Order Date]])</f>
        <v>2024</v>
      </c>
    </row>
    <row r="927" spans="1:13">
      <c r="A927" t="s">
        <v>1749</v>
      </c>
      <c r="B927" s="1">
        <v>45589</v>
      </c>
      <c r="C927" t="s">
        <v>20</v>
      </c>
      <c r="D927" t="s">
        <v>40</v>
      </c>
      <c r="E927" t="s">
        <v>44</v>
      </c>
      <c r="F927" t="s">
        <v>1693</v>
      </c>
      <c r="G927">
        <v>622.9</v>
      </c>
      <c r="H927">
        <v>9</v>
      </c>
      <c r="I927">
        <v>59.36</v>
      </c>
      <c r="J927" t="s">
        <v>29</v>
      </c>
      <c r="K927" s="6">
        <f>tblSales[[#This Row],[Profit]]/tblSales[[#This Row],[Sales]]</f>
        <v>9.5296195215925514E-2</v>
      </c>
      <c r="L927" t="str">
        <f>TEXT(tblSales[[#This Row],[Order Date]],"mmm")</f>
        <v>Oct</v>
      </c>
      <c r="M927">
        <f>YEAR(tblSales[[#This Row],[Order Date]])</f>
        <v>2024</v>
      </c>
    </row>
    <row r="928" spans="1:13">
      <c r="A928" t="s">
        <v>1750</v>
      </c>
      <c r="B928" s="1">
        <v>45590</v>
      </c>
      <c r="C928" t="s">
        <v>14</v>
      </c>
      <c r="D928" t="s">
        <v>40</v>
      </c>
      <c r="E928" t="s">
        <v>44</v>
      </c>
      <c r="F928" t="s">
        <v>735</v>
      </c>
      <c r="G928">
        <v>460.9</v>
      </c>
      <c r="H928">
        <v>4</v>
      </c>
      <c r="I928">
        <v>86.01</v>
      </c>
      <c r="J928" t="s">
        <v>24</v>
      </c>
      <c r="K928" s="6">
        <f>tblSales[[#This Row],[Profit]]/tblSales[[#This Row],[Sales]]</f>
        <v>0.18661314818832719</v>
      </c>
      <c r="L928" t="str">
        <f>TEXT(tblSales[[#This Row],[Order Date]],"mmm")</f>
        <v>Oct</v>
      </c>
      <c r="M928">
        <f>YEAR(tblSales[[#This Row],[Order Date]])</f>
        <v>2024</v>
      </c>
    </row>
    <row r="929" spans="1:13">
      <c r="A929" t="s">
        <v>1751</v>
      </c>
      <c r="B929" s="1">
        <v>45591</v>
      </c>
      <c r="C929" t="s">
        <v>33</v>
      </c>
      <c r="D929" t="s">
        <v>26</v>
      </c>
      <c r="E929" t="s">
        <v>34</v>
      </c>
      <c r="F929" t="s">
        <v>1752</v>
      </c>
      <c r="G929">
        <v>337.25</v>
      </c>
      <c r="H929">
        <v>8</v>
      </c>
      <c r="I929">
        <v>52.12</v>
      </c>
      <c r="J929" t="s">
        <v>18</v>
      </c>
      <c r="K929" s="6">
        <f>tblSales[[#This Row],[Profit]]/tblSales[[#This Row],[Sales]]</f>
        <v>0.15454410674573757</v>
      </c>
      <c r="L929" t="str">
        <f>TEXT(tblSales[[#This Row],[Order Date]],"mmm")</f>
        <v>Oct</v>
      </c>
      <c r="M929">
        <f>YEAR(tblSales[[#This Row],[Order Date]])</f>
        <v>2024</v>
      </c>
    </row>
    <row r="930" spans="1:13">
      <c r="A930" t="s">
        <v>1753</v>
      </c>
      <c r="B930" s="1">
        <v>45592</v>
      </c>
      <c r="C930" t="s">
        <v>14</v>
      </c>
      <c r="D930" t="s">
        <v>73</v>
      </c>
      <c r="E930" t="s">
        <v>164</v>
      </c>
      <c r="F930" t="s">
        <v>1418</v>
      </c>
      <c r="G930">
        <v>1797.97</v>
      </c>
      <c r="H930">
        <v>9</v>
      </c>
      <c r="I930">
        <v>400.23</v>
      </c>
      <c r="J930" t="s">
        <v>18</v>
      </c>
      <c r="K930" s="6">
        <f>tblSales[[#This Row],[Profit]]/tblSales[[#This Row],[Sales]]</f>
        <v>0.22260104451130999</v>
      </c>
      <c r="L930" t="str">
        <f>TEXT(tblSales[[#This Row],[Order Date]],"mmm")</f>
        <v>Oct</v>
      </c>
      <c r="M930">
        <f>YEAR(tblSales[[#This Row],[Order Date]])</f>
        <v>2024</v>
      </c>
    </row>
    <row r="931" spans="1:13">
      <c r="A931" t="s">
        <v>1754</v>
      </c>
      <c r="B931" s="1">
        <v>45593</v>
      </c>
      <c r="C931" t="s">
        <v>33</v>
      </c>
      <c r="D931" t="s">
        <v>26</v>
      </c>
      <c r="E931" t="s">
        <v>49</v>
      </c>
      <c r="F931" t="s">
        <v>144</v>
      </c>
      <c r="G931">
        <v>1613.83</v>
      </c>
      <c r="H931">
        <v>9</v>
      </c>
      <c r="I931">
        <v>347.67</v>
      </c>
      <c r="J931" t="s">
        <v>29</v>
      </c>
      <c r="K931" s="6">
        <f>tblSales[[#This Row],[Profit]]/tblSales[[#This Row],[Sales]]</f>
        <v>0.21543161299517299</v>
      </c>
      <c r="L931" t="str">
        <f>TEXT(tblSales[[#This Row],[Order Date]],"mmm")</f>
        <v>Oct</v>
      </c>
      <c r="M931">
        <f>YEAR(tblSales[[#This Row],[Order Date]])</f>
        <v>2024</v>
      </c>
    </row>
    <row r="932" spans="1:13">
      <c r="A932" t="s">
        <v>1755</v>
      </c>
      <c r="B932" s="1">
        <v>45594</v>
      </c>
      <c r="C932" t="s">
        <v>20</v>
      </c>
      <c r="D932" t="s">
        <v>15</v>
      </c>
      <c r="E932" t="s">
        <v>16</v>
      </c>
      <c r="F932" t="s">
        <v>1756</v>
      </c>
      <c r="G932">
        <v>342.78</v>
      </c>
      <c r="H932">
        <v>3</v>
      </c>
      <c r="I932">
        <v>37.28</v>
      </c>
      <c r="J932" t="s">
        <v>24</v>
      </c>
      <c r="K932" s="6">
        <f>tblSales[[#This Row],[Profit]]/tblSales[[#This Row],[Sales]]</f>
        <v>0.10875780383919717</v>
      </c>
      <c r="L932" t="str">
        <f>TEXT(tblSales[[#This Row],[Order Date]],"mmm")</f>
        <v>Oct</v>
      </c>
      <c r="M932">
        <f>YEAR(tblSales[[#This Row],[Order Date]])</f>
        <v>2024</v>
      </c>
    </row>
    <row r="933" spans="1:13">
      <c r="A933" t="s">
        <v>1757</v>
      </c>
      <c r="B933" s="1">
        <v>45595</v>
      </c>
      <c r="C933" t="s">
        <v>20</v>
      </c>
      <c r="D933" t="s">
        <v>26</v>
      </c>
      <c r="E933" t="s">
        <v>49</v>
      </c>
      <c r="F933" t="s">
        <v>1758</v>
      </c>
      <c r="G933">
        <v>1897.54</v>
      </c>
      <c r="H933">
        <v>7</v>
      </c>
      <c r="I933">
        <v>159.13999999999999</v>
      </c>
      <c r="J933" t="s">
        <v>24</v>
      </c>
      <c r="K933" s="6">
        <f>tblSales[[#This Row],[Profit]]/tblSales[[#This Row],[Sales]]</f>
        <v>8.386647975800246E-2</v>
      </c>
      <c r="L933" t="str">
        <f>TEXT(tblSales[[#This Row],[Order Date]],"mmm")</f>
        <v>Oct</v>
      </c>
      <c r="M933">
        <f>YEAR(tblSales[[#This Row],[Order Date]])</f>
        <v>2024</v>
      </c>
    </row>
    <row r="934" spans="1:13">
      <c r="A934" t="s">
        <v>1759</v>
      </c>
      <c r="B934" s="1">
        <v>45596</v>
      </c>
      <c r="C934" t="s">
        <v>20</v>
      </c>
      <c r="D934" t="s">
        <v>40</v>
      </c>
      <c r="E934" t="s">
        <v>41</v>
      </c>
      <c r="F934" t="s">
        <v>308</v>
      </c>
      <c r="G934">
        <v>1739.45</v>
      </c>
      <c r="H934">
        <v>9</v>
      </c>
      <c r="I934">
        <v>269.45</v>
      </c>
      <c r="J934" t="s">
        <v>29</v>
      </c>
      <c r="K934" s="6">
        <f>tblSales[[#This Row],[Profit]]/tblSales[[#This Row],[Sales]]</f>
        <v>0.15490528615366925</v>
      </c>
      <c r="L934" t="str">
        <f>TEXT(tblSales[[#This Row],[Order Date]],"mmm")</f>
        <v>Oct</v>
      </c>
      <c r="M934">
        <f>YEAR(tblSales[[#This Row],[Order Date]])</f>
        <v>2024</v>
      </c>
    </row>
    <row r="935" spans="1:13">
      <c r="A935" t="s">
        <v>1760</v>
      </c>
      <c r="B935" s="1">
        <v>45597</v>
      </c>
      <c r="C935" t="s">
        <v>33</v>
      </c>
      <c r="D935" t="s">
        <v>40</v>
      </c>
      <c r="E935" t="s">
        <v>41</v>
      </c>
      <c r="F935" t="s">
        <v>1761</v>
      </c>
      <c r="G935">
        <v>851.61</v>
      </c>
      <c r="H935">
        <v>3</v>
      </c>
      <c r="I935">
        <v>126.23</v>
      </c>
      <c r="J935" t="s">
        <v>24</v>
      </c>
      <c r="K935" s="6">
        <f>tblSales[[#This Row],[Profit]]/tblSales[[#This Row],[Sales]]</f>
        <v>0.14822512652505254</v>
      </c>
      <c r="L935" t="str">
        <f>TEXT(tblSales[[#This Row],[Order Date]],"mmm")</f>
        <v>Nov</v>
      </c>
      <c r="M935">
        <f>YEAR(tblSales[[#This Row],[Order Date]])</f>
        <v>2024</v>
      </c>
    </row>
    <row r="936" spans="1:13">
      <c r="A936" t="s">
        <v>1762</v>
      </c>
      <c r="B936" s="1">
        <v>45598</v>
      </c>
      <c r="C936" t="s">
        <v>33</v>
      </c>
      <c r="D936" t="s">
        <v>21</v>
      </c>
      <c r="E936" t="s">
        <v>89</v>
      </c>
      <c r="F936" t="s">
        <v>1763</v>
      </c>
      <c r="G936">
        <v>1894.58</v>
      </c>
      <c r="H936">
        <v>9</v>
      </c>
      <c r="I936">
        <v>467.66</v>
      </c>
      <c r="J936" t="s">
        <v>18</v>
      </c>
      <c r="K936" s="6">
        <f>tblSales[[#This Row],[Profit]]/tblSales[[#This Row],[Sales]]</f>
        <v>0.24684098850404843</v>
      </c>
      <c r="L936" t="str">
        <f>TEXT(tblSales[[#This Row],[Order Date]],"mmm")</f>
        <v>Nov</v>
      </c>
      <c r="M936">
        <f>YEAR(tblSales[[#This Row],[Order Date]])</f>
        <v>2024</v>
      </c>
    </row>
    <row r="937" spans="1:13">
      <c r="A937" t="s">
        <v>1764</v>
      </c>
      <c r="B937" s="1">
        <v>45599</v>
      </c>
      <c r="C937" t="s">
        <v>33</v>
      </c>
      <c r="D937" t="s">
        <v>15</v>
      </c>
      <c r="E937" t="s">
        <v>52</v>
      </c>
      <c r="F937" t="s">
        <v>1765</v>
      </c>
      <c r="G937">
        <v>1401.48</v>
      </c>
      <c r="H937">
        <v>4</v>
      </c>
      <c r="I937">
        <v>411.26</v>
      </c>
      <c r="J937" t="s">
        <v>29</v>
      </c>
      <c r="K937" s="6">
        <f>tblSales[[#This Row],[Profit]]/tblSales[[#This Row],[Sales]]</f>
        <v>0.29344692753375001</v>
      </c>
      <c r="L937" t="str">
        <f>TEXT(tblSales[[#This Row],[Order Date]],"mmm")</f>
        <v>Nov</v>
      </c>
      <c r="M937">
        <f>YEAR(tblSales[[#This Row],[Order Date]])</f>
        <v>2024</v>
      </c>
    </row>
    <row r="938" spans="1:13">
      <c r="A938" t="s">
        <v>1766</v>
      </c>
      <c r="B938" s="1">
        <v>45600</v>
      </c>
      <c r="C938" t="s">
        <v>14</v>
      </c>
      <c r="D938" t="s">
        <v>40</v>
      </c>
      <c r="E938" t="s">
        <v>41</v>
      </c>
      <c r="F938" t="s">
        <v>1523</v>
      </c>
      <c r="G938">
        <v>1080.03</v>
      </c>
      <c r="H938">
        <v>8</v>
      </c>
      <c r="I938">
        <v>298.14999999999998</v>
      </c>
      <c r="J938" t="s">
        <v>18</v>
      </c>
      <c r="K938" s="6">
        <f>tblSales[[#This Row],[Profit]]/tblSales[[#This Row],[Sales]]</f>
        <v>0.27605714656074365</v>
      </c>
      <c r="L938" t="str">
        <f>TEXT(tblSales[[#This Row],[Order Date]],"mmm")</f>
        <v>Nov</v>
      </c>
      <c r="M938">
        <f>YEAR(tblSales[[#This Row],[Order Date]])</f>
        <v>2024</v>
      </c>
    </row>
    <row r="939" spans="1:13">
      <c r="A939" t="s">
        <v>1767</v>
      </c>
      <c r="B939" s="1">
        <v>45601</v>
      </c>
      <c r="C939" t="s">
        <v>33</v>
      </c>
      <c r="D939" t="s">
        <v>40</v>
      </c>
      <c r="E939" t="s">
        <v>41</v>
      </c>
      <c r="F939" t="s">
        <v>1768</v>
      </c>
      <c r="G939">
        <v>863.72</v>
      </c>
      <c r="H939">
        <v>1</v>
      </c>
      <c r="I939">
        <v>91.08</v>
      </c>
      <c r="J939" t="s">
        <v>24</v>
      </c>
      <c r="K939" s="6">
        <f>tblSales[[#This Row],[Profit]]/tblSales[[#This Row],[Sales]]</f>
        <v>0.1054508405501783</v>
      </c>
      <c r="L939" t="str">
        <f>TEXT(tblSales[[#This Row],[Order Date]],"mmm")</f>
        <v>Nov</v>
      </c>
      <c r="M939">
        <f>YEAR(tblSales[[#This Row],[Order Date]])</f>
        <v>2024</v>
      </c>
    </row>
    <row r="940" spans="1:13">
      <c r="A940" t="s">
        <v>1769</v>
      </c>
      <c r="B940" s="1">
        <v>45602</v>
      </c>
      <c r="C940" t="s">
        <v>14</v>
      </c>
      <c r="D940" t="s">
        <v>40</v>
      </c>
      <c r="E940" t="s">
        <v>92</v>
      </c>
      <c r="F940" t="s">
        <v>1770</v>
      </c>
      <c r="G940">
        <v>533.59</v>
      </c>
      <c r="H940">
        <v>8</v>
      </c>
      <c r="I940">
        <v>150.79</v>
      </c>
      <c r="J940" t="s">
        <v>24</v>
      </c>
      <c r="K940" s="6">
        <f>tblSales[[#This Row],[Profit]]/tblSales[[#This Row],[Sales]]</f>
        <v>0.28259525103543914</v>
      </c>
      <c r="L940" t="str">
        <f>TEXT(tblSales[[#This Row],[Order Date]],"mmm")</f>
        <v>Nov</v>
      </c>
      <c r="M940">
        <f>YEAR(tblSales[[#This Row],[Order Date]])</f>
        <v>2024</v>
      </c>
    </row>
    <row r="941" spans="1:13">
      <c r="A941" t="s">
        <v>1771</v>
      </c>
      <c r="B941" s="1">
        <v>45603</v>
      </c>
      <c r="C941" t="s">
        <v>20</v>
      </c>
      <c r="D941" t="s">
        <v>15</v>
      </c>
      <c r="E941" t="s">
        <v>79</v>
      </c>
      <c r="F941" t="s">
        <v>1772</v>
      </c>
      <c r="G941">
        <v>911.12</v>
      </c>
      <c r="H941">
        <v>5</v>
      </c>
      <c r="I941">
        <v>64.58</v>
      </c>
      <c r="J941" t="s">
        <v>29</v>
      </c>
      <c r="K941" s="6">
        <f>tblSales[[#This Row],[Profit]]/tblSales[[#This Row],[Sales]]</f>
        <v>7.0879796294670297E-2</v>
      </c>
      <c r="L941" t="str">
        <f>TEXT(tblSales[[#This Row],[Order Date]],"mmm")</f>
        <v>Nov</v>
      </c>
      <c r="M941">
        <f>YEAR(tblSales[[#This Row],[Order Date]])</f>
        <v>2024</v>
      </c>
    </row>
    <row r="942" spans="1:13">
      <c r="A942" t="s">
        <v>1773</v>
      </c>
      <c r="B942" s="1">
        <v>45604</v>
      </c>
      <c r="C942" t="s">
        <v>20</v>
      </c>
      <c r="D942" t="s">
        <v>40</v>
      </c>
      <c r="E942" t="s">
        <v>92</v>
      </c>
      <c r="F942" t="s">
        <v>1774</v>
      </c>
      <c r="G942">
        <v>1509.89</v>
      </c>
      <c r="H942">
        <v>4</v>
      </c>
      <c r="I942">
        <v>261.41000000000003</v>
      </c>
      <c r="J942" t="s">
        <v>18</v>
      </c>
      <c r="K942" s="6">
        <f>tblSales[[#This Row],[Profit]]/tblSales[[#This Row],[Sales]]</f>
        <v>0.17313181754962281</v>
      </c>
      <c r="L942" t="str">
        <f>TEXT(tblSales[[#This Row],[Order Date]],"mmm")</f>
        <v>Nov</v>
      </c>
      <c r="M942">
        <f>YEAR(tblSales[[#This Row],[Order Date]])</f>
        <v>2024</v>
      </c>
    </row>
    <row r="943" spans="1:13">
      <c r="A943" t="s">
        <v>1775</v>
      </c>
      <c r="B943" s="1">
        <v>45605</v>
      </c>
      <c r="C943" t="s">
        <v>20</v>
      </c>
      <c r="D943" t="s">
        <v>21</v>
      </c>
      <c r="E943" t="s">
        <v>57</v>
      </c>
      <c r="F943" t="s">
        <v>591</v>
      </c>
      <c r="G943">
        <v>682.11</v>
      </c>
      <c r="H943">
        <v>4</v>
      </c>
      <c r="I943">
        <v>152.41999999999999</v>
      </c>
      <c r="J943" t="s">
        <v>24</v>
      </c>
      <c r="K943" s="6">
        <f>tblSales[[#This Row],[Profit]]/tblSales[[#This Row],[Sales]]</f>
        <v>0.22345369515180832</v>
      </c>
      <c r="L943" t="str">
        <f>TEXT(tblSales[[#This Row],[Order Date]],"mmm")</f>
        <v>Nov</v>
      </c>
      <c r="M943">
        <f>YEAR(tblSales[[#This Row],[Order Date]])</f>
        <v>2024</v>
      </c>
    </row>
    <row r="944" spans="1:13">
      <c r="A944" t="s">
        <v>1776</v>
      </c>
      <c r="B944" s="1">
        <v>45606</v>
      </c>
      <c r="C944" t="s">
        <v>20</v>
      </c>
      <c r="D944" t="s">
        <v>21</v>
      </c>
      <c r="E944" t="s">
        <v>57</v>
      </c>
      <c r="F944" t="s">
        <v>1777</v>
      </c>
      <c r="G944">
        <v>448.18</v>
      </c>
      <c r="H944">
        <v>5</v>
      </c>
      <c r="I944">
        <v>112.65</v>
      </c>
      <c r="J944" t="s">
        <v>24</v>
      </c>
      <c r="K944" s="6">
        <f>tblSales[[#This Row],[Profit]]/tblSales[[#This Row],[Sales]]</f>
        <v>0.25134990405640589</v>
      </c>
      <c r="L944" t="str">
        <f>TEXT(tblSales[[#This Row],[Order Date]],"mmm")</f>
        <v>Nov</v>
      </c>
      <c r="M944">
        <f>YEAR(tblSales[[#This Row],[Order Date]])</f>
        <v>2024</v>
      </c>
    </row>
    <row r="945" spans="1:13">
      <c r="A945" t="s">
        <v>1778</v>
      </c>
      <c r="B945" s="1">
        <v>45607</v>
      </c>
      <c r="C945" t="s">
        <v>20</v>
      </c>
      <c r="D945" t="s">
        <v>73</v>
      </c>
      <c r="E945" t="s">
        <v>74</v>
      </c>
      <c r="F945" t="s">
        <v>1296</v>
      </c>
      <c r="G945">
        <v>324.72000000000003</v>
      </c>
      <c r="H945">
        <v>4</v>
      </c>
      <c r="I945">
        <v>75.81</v>
      </c>
      <c r="J945" t="s">
        <v>29</v>
      </c>
      <c r="K945" s="6">
        <f>tblSales[[#This Row],[Profit]]/tblSales[[#This Row],[Sales]]</f>
        <v>0.23346267553584626</v>
      </c>
      <c r="L945" t="str">
        <f>TEXT(tblSales[[#This Row],[Order Date]],"mmm")</f>
        <v>Nov</v>
      </c>
      <c r="M945">
        <f>YEAR(tblSales[[#This Row],[Order Date]])</f>
        <v>2024</v>
      </c>
    </row>
    <row r="946" spans="1:13">
      <c r="A946" t="s">
        <v>1779</v>
      </c>
      <c r="B946" s="1">
        <v>45608</v>
      </c>
      <c r="C946" t="s">
        <v>33</v>
      </c>
      <c r="D946" t="s">
        <v>21</v>
      </c>
      <c r="E946" t="s">
        <v>89</v>
      </c>
      <c r="F946" t="s">
        <v>1780</v>
      </c>
      <c r="G946">
        <v>828.74</v>
      </c>
      <c r="H946">
        <v>2</v>
      </c>
      <c r="I946">
        <v>53.18</v>
      </c>
      <c r="J946" t="s">
        <v>29</v>
      </c>
      <c r="K946" s="6">
        <f>tblSales[[#This Row],[Profit]]/tblSales[[#This Row],[Sales]]</f>
        <v>6.4169703405169295E-2</v>
      </c>
      <c r="L946" t="str">
        <f>TEXT(tblSales[[#This Row],[Order Date]],"mmm")</f>
        <v>Nov</v>
      </c>
      <c r="M946">
        <f>YEAR(tblSales[[#This Row],[Order Date]])</f>
        <v>2024</v>
      </c>
    </row>
    <row r="947" spans="1:13">
      <c r="A947" t="s">
        <v>1781</v>
      </c>
      <c r="B947" s="1">
        <v>45609</v>
      </c>
      <c r="C947" t="s">
        <v>20</v>
      </c>
      <c r="D947" t="s">
        <v>21</v>
      </c>
      <c r="E947" t="s">
        <v>57</v>
      </c>
      <c r="F947" t="s">
        <v>1782</v>
      </c>
      <c r="G947">
        <v>688.31</v>
      </c>
      <c r="H947">
        <v>2</v>
      </c>
      <c r="I947">
        <v>67.7</v>
      </c>
      <c r="J947" t="s">
        <v>18</v>
      </c>
      <c r="K947" s="6">
        <f>tblSales[[#This Row],[Profit]]/tblSales[[#This Row],[Sales]]</f>
        <v>9.835684502622366E-2</v>
      </c>
      <c r="L947" t="str">
        <f>TEXT(tblSales[[#This Row],[Order Date]],"mmm")</f>
        <v>Nov</v>
      </c>
      <c r="M947">
        <f>YEAR(tblSales[[#This Row],[Order Date]])</f>
        <v>2024</v>
      </c>
    </row>
    <row r="948" spans="1:13">
      <c r="A948" t="s">
        <v>1783</v>
      </c>
      <c r="B948" s="1">
        <v>45610</v>
      </c>
      <c r="C948" t="s">
        <v>33</v>
      </c>
      <c r="D948" t="s">
        <v>15</v>
      </c>
      <c r="E948" t="s">
        <v>60</v>
      </c>
      <c r="F948" t="s">
        <v>1784</v>
      </c>
      <c r="G948">
        <v>1774.45</v>
      </c>
      <c r="H948">
        <v>4</v>
      </c>
      <c r="I948">
        <v>227.09</v>
      </c>
      <c r="J948" t="s">
        <v>18</v>
      </c>
      <c r="K948" s="6">
        <f>tblSales[[#This Row],[Profit]]/tblSales[[#This Row],[Sales]]</f>
        <v>0.12797768322578826</v>
      </c>
      <c r="L948" t="str">
        <f>TEXT(tblSales[[#This Row],[Order Date]],"mmm")</f>
        <v>Nov</v>
      </c>
      <c r="M948">
        <f>YEAR(tblSales[[#This Row],[Order Date]])</f>
        <v>2024</v>
      </c>
    </row>
    <row r="949" spans="1:13">
      <c r="A949" t="s">
        <v>1785</v>
      </c>
      <c r="B949" s="1">
        <v>45611</v>
      </c>
      <c r="C949" t="s">
        <v>20</v>
      </c>
      <c r="D949" t="s">
        <v>40</v>
      </c>
      <c r="E949" t="s">
        <v>92</v>
      </c>
      <c r="F949" t="s">
        <v>950</v>
      </c>
      <c r="G949">
        <v>1752.73</v>
      </c>
      <c r="H949">
        <v>9</v>
      </c>
      <c r="I949">
        <v>149.47</v>
      </c>
      <c r="J949" t="s">
        <v>18</v>
      </c>
      <c r="K949" s="6">
        <f>tblSales[[#This Row],[Profit]]/tblSales[[#This Row],[Sales]]</f>
        <v>8.5278394276357458E-2</v>
      </c>
      <c r="L949" t="str">
        <f>TEXT(tblSales[[#This Row],[Order Date]],"mmm")</f>
        <v>Nov</v>
      </c>
      <c r="M949">
        <f>YEAR(tblSales[[#This Row],[Order Date]])</f>
        <v>2024</v>
      </c>
    </row>
    <row r="950" spans="1:13">
      <c r="A950" t="s">
        <v>1786</v>
      </c>
      <c r="B950" s="1">
        <v>45612</v>
      </c>
      <c r="C950" t="s">
        <v>14</v>
      </c>
      <c r="D950" t="s">
        <v>40</v>
      </c>
      <c r="E950" t="s">
        <v>44</v>
      </c>
      <c r="F950" t="s">
        <v>1787</v>
      </c>
      <c r="G950">
        <v>229.07</v>
      </c>
      <c r="H950">
        <v>5</v>
      </c>
      <c r="I950">
        <v>20.41</v>
      </c>
      <c r="J950" t="s">
        <v>18</v>
      </c>
      <c r="K950" s="6">
        <f>tblSales[[#This Row],[Profit]]/tblSales[[#This Row],[Sales]]</f>
        <v>8.9099401929541189E-2</v>
      </c>
      <c r="L950" t="str">
        <f>TEXT(tblSales[[#This Row],[Order Date]],"mmm")</f>
        <v>Nov</v>
      </c>
      <c r="M950">
        <f>YEAR(tblSales[[#This Row],[Order Date]])</f>
        <v>2024</v>
      </c>
    </row>
    <row r="951" spans="1:13">
      <c r="A951" t="s">
        <v>1788</v>
      </c>
      <c r="B951" s="1">
        <v>45613</v>
      </c>
      <c r="C951" t="s">
        <v>20</v>
      </c>
      <c r="D951" t="s">
        <v>73</v>
      </c>
      <c r="E951" t="s">
        <v>74</v>
      </c>
      <c r="F951" t="s">
        <v>1191</v>
      </c>
      <c r="G951">
        <v>733.74</v>
      </c>
      <c r="H951">
        <v>4</v>
      </c>
      <c r="I951">
        <v>86.33</v>
      </c>
      <c r="J951" t="s">
        <v>29</v>
      </c>
      <c r="K951" s="6">
        <f>tblSales[[#This Row],[Profit]]/tblSales[[#This Row],[Sales]]</f>
        <v>0.11765748085152779</v>
      </c>
      <c r="L951" t="str">
        <f>TEXT(tblSales[[#This Row],[Order Date]],"mmm")</f>
        <v>Nov</v>
      </c>
      <c r="M951">
        <f>YEAR(tblSales[[#This Row],[Order Date]])</f>
        <v>2024</v>
      </c>
    </row>
    <row r="952" spans="1:13">
      <c r="A952" t="s">
        <v>1789</v>
      </c>
      <c r="B952" s="1">
        <v>45614</v>
      </c>
      <c r="C952" t="s">
        <v>33</v>
      </c>
      <c r="D952" t="s">
        <v>21</v>
      </c>
      <c r="E952" t="s">
        <v>89</v>
      </c>
      <c r="F952" t="s">
        <v>1790</v>
      </c>
      <c r="G952">
        <v>900.17</v>
      </c>
      <c r="H952">
        <v>7</v>
      </c>
      <c r="I952">
        <v>71.400000000000006</v>
      </c>
      <c r="J952" t="s">
        <v>18</v>
      </c>
      <c r="K952" s="6">
        <f>tblSales[[#This Row],[Profit]]/tblSales[[#This Row],[Sales]]</f>
        <v>7.9318350978148586E-2</v>
      </c>
      <c r="L952" t="str">
        <f>TEXT(tblSales[[#This Row],[Order Date]],"mmm")</f>
        <v>Nov</v>
      </c>
      <c r="M952">
        <f>YEAR(tblSales[[#This Row],[Order Date]])</f>
        <v>2024</v>
      </c>
    </row>
    <row r="953" spans="1:13">
      <c r="A953" t="s">
        <v>1791</v>
      </c>
      <c r="B953" s="1">
        <v>45615</v>
      </c>
      <c r="C953" t="s">
        <v>14</v>
      </c>
      <c r="D953" t="s">
        <v>73</v>
      </c>
      <c r="E953" t="s">
        <v>74</v>
      </c>
      <c r="F953" t="s">
        <v>1792</v>
      </c>
      <c r="G953">
        <v>1325.66</v>
      </c>
      <c r="H953">
        <v>9</v>
      </c>
      <c r="I953">
        <v>234.34</v>
      </c>
      <c r="J953" t="s">
        <v>29</v>
      </c>
      <c r="K953" s="6">
        <f>tblSales[[#This Row],[Profit]]/tblSales[[#This Row],[Sales]]</f>
        <v>0.17677232472881432</v>
      </c>
      <c r="L953" t="str">
        <f>TEXT(tblSales[[#This Row],[Order Date]],"mmm")</f>
        <v>Nov</v>
      </c>
      <c r="M953">
        <f>YEAR(tblSales[[#This Row],[Order Date]])</f>
        <v>2024</v>
      </c>
    </row>
    <row r="954" spans="1:13">
      <c r="A954" t="s">
        <v>1793</v>
      </c>
      <c r="B954" s="1">
        <v>45616</v>
      </c>
      <c r="C954" t="s">
        <v>39</v>
      </c>
      <c r="D954" t="s">
        <v>15</v>
      </c>
      <c r="E954" t="s">
        <v>60</v>
      </c>
      <c r="F954" t="s">
        <v>1794</v>
      </c>
      <c r="G954">
        <v>1970.65</v>
      </c>
      <c r="H954">
        <v>2</v>
      </c>
      <c r="I954">
        <v>312.52999999999997</v>
      </c>
      <c r="J954" t="s">
        <v>29</v>
      </c>
      <c r="K954" s="6">
        <f>tblSales[[#This Row],[Profit]]/tblSales[[#This Row],[Sales]]</f>
        <v>0.15859234262806687</v>
      </c>
      <c r="L954" t="str">
        <f>TEXT(tblSales[[#This Row],[Order Date]],"mmm")</f>
        <v>Nov</v>
      </c>
      <c r="M954">
        <f>YEAR(tblSales[[#This Row],[Order Date]])</f>
        <v>2024</v>
      </c>
    </row>
    <row r="955" spans="1:13">
      <c r="A955" t="s">
        <v>1795</v>
      </c>
      <c r="B955" s="1">
        <v>45617</v>
      </c>
      <c r="C955" t="s">
        <v>20</v>
      </c>
      <c r="D955" t="s">
        <v>73</v>
      </c>
      <c r="E955" t="s">
        <v>84</v>
      </c>
      <c r="F955" t="s">
        <v>1796</v>
      </c>
      <c r="G955">
        <v>1245.17</v>
      </c>
      <c r="H955">
        <v>8</v>
      </c>
      <c r="I955">
        <v>237.9</v>
      </c>
      <c r="J955" t="s">
        <v>18</v>
      </c>
      <c r="K955" s="6">
        <f>tblSales[[#This Row],[Profit]]/tblSales[[#This Row],[Sales]]</f>
        <v>0.19105824907442356</v>
      </c>
      <c r="L955" t="str">
        <f>TEXT(tblSales[[#This Row],[Order Date]],"mmm")</f>
        <v>Nov</v>
      </c>
      <c r="M955">
        <f>YEAR(tblSales[[#This Row],[Order Date]])</f>
        <v>2024</v>
      </c>
    </row>
    <row r="956" spans="1:13">
      <c r="A956" t="s">
        <v>1797</v>
      </c>
      <c r="B956" s="1">
        <v>45618</v>
      </c>
      <c r="C956" t="s">
        <v>33</v>
      </c>
      <c r="D956" t="s">
        <v>73</v>
      </c>
      <c r="E956" t="s">
        <v>84</v>
      </c>
      <c r="F956" t="s">
        <v>1798</v>
      </c>
      <c r="G956">
        <v>419.03</v>
      </c>
      <c r="H956">
        <v>5</v>
      </c>
      <c r="I956">
        <v>65.959999999999994</v>
      </c>
      <c r="J956" t="s">
        <v>24</v>
      </c>
      <c r="K956" s="6">
        <f>tblSales[[#This Row],[Profit]]/tblSales[[#This Row],[Sales]]</f>
        <v>0.15741116387848125</v>
      </c>
      <c r="L956" t="str">
        <f>TEXT(tblSales[[#This Row],[Order Date]],"mmm")</f>
        <v>Nov</v>
      </c>
      <c r="M956">
        <f>YEAR(tblSales[[#This Row],[Order Date]])</f>
        <v>2024</v>
      </c>
    </row>
    <row r="957" spans="1:13">
      <c r="A957" t="s">
        <v>1799</v>
      </c>
      <c r="B957" s="1">
        <v>45619</v>
      </c>
      <c r="C957" t="s">
        <v>39</v>
      </c>
      <c r="D957" t="s">
        <v>73</v>
      </c>
      <c r="E957" t="s">
        <v>84</v>
      </c>
      <c r="F957" t="s">
        <v>109</v>
      </c>
      <c r="G957">
        <v>275.77</v>
      </c>
      <c r="H957">
        <v>5</v>
      </c>
      <c r="I957">
        <v>67.53</v>
      </c>
      <c r="J957" t="s">
        <v>24</v>
      </c>
      <c r="K957" s="6">
        <f>tblSales[[#This Row],[Profit]]/tblSales[[#This Row],[Sales]]</f>
        <v>0.24487797802516592</v>
      </c>
      <c r="L957" t="str">
        <f>TEXT(tblSales[[#This Row],[Order Date]],"mmm")</f>
        <v>Nov</v>
      </c>
      <c r="M957">
        <f>YEAR(tblSales[[#This Row],[Order Date]])</f>
        <v>2024</v>
      </c>
    </row>
    <row r="958" spans="1:13">
      <c r="A958" t="s">
        <v>1800</v>
      </c>
      <c r="B958" s="1">
        <v>45620</v>
      </c>
      <c r="C958" t="s">
        <v>14</v>
      </c>
      <c r="D958" t="s">
        <v>26</v>
      </c>
      <c r="E958" t="s">
        <v>27</v>
      </c>
      <c r="F958" t="s">
        <v>1801</v>
      </c>
      <c r="G958">
        <v>1640.39</v>
      </c>
      <c r="H958">
        <v>1</v>
      </c>
      <c r="I958">
        <v>446.97</v>
      </c>
      <c r="J958" t="s">
        <v>18</v>
      </c>
      <c r="K958" s="6">
        <f>tblSales[[#This Row],[Profit]]/tblSales[[#This Row],[Sales]]</f>
        <v>0.27247788635629333</v>
      </c>
      <c r="L958" t="str">
        <f>TEXT(tblSales[[#This Row],[Order Date]],"mmm")</f>
        <v>Nov</v>
      </c>
      <c r="M958">
        <f>YEAR(tblSales[[#This Row],[Order Date]])</f>
        <v>2024</v>
      </c>
    </row>
    <row r="959" spans="1:13">
      <c r="A959" t="s">
        <v>1802</v>
      </c>
      <c r="B959" s="1">
        <v>45621</v>
      </c>
      <c r="C959" t="s">
        <v>33</v>
      </c>
      <c r="D959" t="s">
        <v>73</v>
      </c>
      <c r="E959" t="s">
        <v>74</v>
      </c>
      <c r="F959" t="s">
        <v>1131</v>
      </c>
      <c r="G959">
        <v>1311.14</v>
      </c>
      <c r="H959">
        <v>5</v>
      </c>
      <c r="I959">
        <v>316.43</v>
      </c>
      <c r="J959" t="s">
        <v>29</v>
      </c>
      <c r="K959" s="6">
        <f>tblSales[[#This Row],[Profit]]/tblSales[[#This Row],[Sales]]</f>
        <v>0.24133959760208673</v>
      </c>
      <c r="L959" t="str">
        <f>TEXT(tblSales[[#This Row],[Order Date]],"mmm")</f>
        <v>Nov</v>
      </c>
      <c r="M959">
        <f>YEAR(tblSales[[#This Row],[Order Date]])</f>
        <v>2024</v>
      </c>
    </row>
    <row r="960" spans="1:13">
      <c r="A960" t="s">
        <v>1803</v>
      </c>
      <c r="B960" s="1">
        <v>45622</v>
      </c>
      <c r="C960" t="s">
        <v>20</v>
      </c>
      <c r="D960" t="s">
        <v>26</v>
      </c>
      <c r="E960" t="s">
        <v>49</v>
      </c>
      <c r="F960" t="s">
        <v>1804</v>
      </c>
      <c r="G960">
        <v>1733.81</v>
      </c>
      <c r="H960">
        <v>3</v>
      </c>
      <c r="I960">
        <v>141.29</v>
      </c>
      <c r="J960" t="s">
        <v>24</v>
      </c>
      <c r="K960" s="6">
        <f>tblSales[[#This Row],[Profit]]/tblSales[[#This Row],[Sales]]</f>
        <v>8.1491051499299236E-2</v>
      </c>
      <c r="L960" t="str">
        <f>TEXT(tblSales[[#This Row],[Order Date]],"mmm")</f>
        <v>Nov</v>
      </c>
      <c r="M960">
        <f>YEAR(tblSales[[#This Row],[Order Date]])</f>
        <v>2024</v>
      </c>
    </row>
    <row r="961" spans="1:13">
      <c r="A961" t="s">
        <v>1805</v>
      </c>
      <c r="B961" s="1">
        <v>45623</v>
      </c>
      <c r="C961" t="s">
        <v>33</v>
      </c>
      <c r="D961" t="s">
        <v>73</v>
      </c>
      <c r="E961" t="s">
        <v>84</v>
      </c>
      <c r="F961" t="s">
        <v>1806</v>
      </c>
      <c r="G961">
        <v>1354.2</v>
      </c>
      <c r="H961">
        <v>3</v>
      </c>
      <c r="I961">
        <v>177.51</v>
      </c>
      <c r="J961" t="s">
        <v>18</v>
      </c>
      <c r="K961" s="6">
        <f>tblSales[[#This Row],[Profit]]/tblSales[[#This Row],[Sales]]</f>
        <v>0.13108108108108107</v>
      </c>
      <c r="L961" t="str">
        <f>TEXT(tblSales[[#This Row],[Order Date]],"mmm")</f>
        <v>Nov</v>
      </c>
      <c r="M961">
        <f>YEAR(tblSales[[#This Row],[Order Date]])</f>
        <v>2024</v>
      </c>
    </row>
    <row r="962" spans="1:13">
      <c r="A962" t="s">
        <v>1807</v>
      </c>
      <c r="B962" s="1">
        <v>45624</v>
      </c>
      <c r="C962" t="s">
        <v>39</v>
      </c>
      <c r="D962" t="s">
        <v>26</v>
      </c>
      <c r="E962" t="s">
        <v>34</v>
      </c>
      <c r="F962" t="s">
        <v>1808</v>
      </c>
      <c r="G962">
        <v>1196.5999999999999</v>
      </c>
      <c r="H962">
        <v>2</v>
      </c>
      <c r="I962">
        <v>288.93</v>
      </c>
      <c r="J962" t="s">
        <v>29</v>
      </c>
      <c r="K962" s="6">
        <f>tblSales[[#This Row],[Profit]]/tblSales[[#This Row],[Sales]]</f>
        <v>0.24145913421360524</v>
      </c>
      <c r="L962" t="str">
        <f>TEXT(tblSales[[#This Row],[Order Date]],"mmm")</f>
        <v>Nov</v>
      </c>
      <c r="M962">
        <f>YEAR(tblSales[[#This Row],[Order Date]])</f>
        <v>2024</v>
      </c>
    </row>
    <row r="963" spans="1:13">
      <c r="A963" t="s">
        <v>1809</v>
      </c>
      <c r="B963" s="1">
        <v>45625</v>
      </c>
      <c r="C963" t="s">
        <v>20</v>
      </c>
      <c r="D963" t="s">
        <v>26</v>
      </c>
      <c r="E963" t="s">
        <v>34</v>
      </c>
      <c r="F963" t="s">
        <v>1810</v>
      </c>
      <c r="G963">
        <v>869.54</v>
      </c>
      <c r="H963">
        <v>6</v>
      </c>
      <c r="I963">
        <v>74.650000000000006</v>
      </c>
      <c r="J963" t="s">
        <v>24</v>
      </c>
      <c r="K963" s="6">
        <f>tblSales[[#This Row],[Profit]]/tblSales[[#This Row],[Sales]]</f>
        <v>8.5849989649699851E-2</v>
      </c>
      <c r="L963" t="str">
        <f>TEXT(tblSales[[#This Row],[Order Date]],"mmm")</f>
        <v>Nov</v>
      </c>
      <c r="M963">
        <f>YEAR(tblSales[[#This Row],[Order Date]])</f>
        <v>2024</v>
      </c>
    </row>
    <row r="964" spans="1:13">
      <c r="A964" t="s">
        <v>1811</v>
      </c>
      <c r="B964" s="1">
        <v>45626</v>
      </c>
      <c r="C964" t="s">
        <v>33</v>
      </c>
      <c r="D964" t="s">
        <v>21</v>
      </c>
      <c r="E964" t="s">
        <v>22</v>
      </c>
      <c r="F964" t="s">
        <v>1812</v>
      </c>
      <c r="G964">
        <v>938.85</v>
      </c>
      <c r="H964">
        <v>8</v>
      </c>
      <c r="I964">
        <v>122.95</v>
      </c>
      <c r="J964" t="s">
        <v>29</v>
      </c>
      <c r="K964" s="6">
        <f>tblSales[[#This Row],[Profit]]/tblSales[[#This Row],[Sales]]</f>
        <v>0.13095808702135592</v>
      </c>
      <c r="L964" t="str">
        <f>TEXT(tblSales[[#This Row],[Order Date]],"mmm")</f>
        <v>Nov</v>
      </c>
      <c r="M964">
        <f>YEAR(tblSales[[#This Row],[Order Date]])</f>
        <v>2024</v>
      </c>
    </row>
    <row r="965" spans="1:13">
      <c r="A965" t="s">
        <v>1813</v>
      </c>
      <c r="B965" s="1">
        <v>45627</v>
      </c>
      <c r="C965" t="s">
        <v>39</v>
      </c>
      <c r="D965" t="s">
        <v>21</v>
      </c>
      <c r="E965" t="s">
        <v>89</v>
      </c>
      <c r="F965" t="s">
        <v>1814</v>
      </c>
      <c r="G965">
        <v>453.05</v>
      </c>
      <c r="H965">
        <v>5</v>
      </c>
      <c r="I965">
        <v>96.32</v>
      </c>
      <c r="J965" t="s">
        <v>24</v>
      </c>
      <c r="K965" s="6">
        <f>tblSales[[#This Row],[Profit]]/tblSales[[#This Row],[Sales]]</f>
        <v>0.21260346540116984</v>
      </c>
      <c r="L965" t="str">
        <f>TEXT(tblSales[[#This Row],[Order Date]],"mmm")</f>
        <v>Dec</v>
      </c>
      <c r="M965">
        <f>YEAR(tblSales[[#This Row],[Order Date]])</f>
        <v>2024</v>
      </c>
    </row>
    <row r="966" spans="1:13">
      <c r="A966" t="s">
        <v>1815</v>
      </c>
      <c r="B966" s="1">
        <v>45628</v>
      </c>
      <c r="C966" t="s">
        <v>20</v>
      </c>
      <c r="D966" t="s">
        <v>73</v>
      </c>
      <c r="E966" t="s">
        <v>74</v>
      </c>
      <c r="F966" t="s">
        <v>1605</v>
      </c>
      <c r="G966">
        <v>261.57</v>
      </c>
      <c r="H966">
        <v>2</v>
      </c>
      <c r="I966">
        <v>16.02</v>
      </c>
      <c r="J966" t="s">
        <v>24</v>
      </c>
      <c r="K966" s="6">
        <f>tblSales[[#This Row],[Profit]]/tblSales[[#This Row],[Sales]]</f>
        <v>6.1245555682991171E-2</v>
      </c>
      <c r="L966" t="str">
        <f>TEXT(tblSales[[#This Row],[Order Date]],"mmm")</f>
        <v>Dec</v>
      </c>
      <c r="M966">
        <f>YEAR(tblSales[[#This Row],[Order Date]])</f>
        <v>2024</v>
      </c>
    </row>
    <row r="967" spans="1:13">
      <c r="A967" t="s">
        <v>1816</v>
      </c>
      <c r="B967" s="1">
        <v>45629</v>
      </c>
      <c r="C967" t="s">
        <v>33</v>
      </c>
      <c r="D967" t="s">
        <v>40</v>
      </c>
      <c r="E967" t="s">
        <v>44</v>
      </c>
      <c r="F967" t="s">
        <v>1817</v>
      </c>
      <c r="G967">
        <v>695.81</v>
      </c>
      <c r="H967">
        <v>9</v>
      </c>
      <c r="I967">
        <v>196.37</v>
      </c>
      <c r="J967" t="s">
        <v>18</v>
      </c>
      <c r="K967" s="6">
        <f>tblSales[[#This Row],[Profit]]/tblSales[[#This Row],[Sales]]</f>
        <v>0.28221784682600137</v>
      </c>
      <c r="L967" t="str">
        <f>TEXT(tblSales[[#This Row],[Order Date]],"mmm")</f>
        <v>Dec</v>
      </c>
      <c r="M967">
        <f>YEAR(tblSales[[#This Row],[Order Date]])</f>
        <v>2024</v>
      </c>
    </row>
    <row r="968" spans="1:13">
      <c r="A968" t="s">
        <v>1818</v>
      </c>
      <c r="B968" s="1">
        <v>45630</v>
      </c>
      <c r="C968" t="s">
        <v>20</v>
      </c>
      <c r="D968" t="s">
        <v>40</v>
      </c>
      <c r="E968" t="s">
        <v>44</v>
      </c>
      <c r="F968" t="s">
        <v>45</v>
      </c>
      <c r="G968">
        <v>941.37</v>
      </c>
      <c r="H968">
        <v>9</v>
      </c>
      <c r="I968">
        <v>193.62</v>
      </c>
      <c r="J968" t="s">
        <v>29</v>
      </c>
      <c r="K968" s="6">
        <f>tblSales[[#This Row],[Profit]]/tblSales[[#This Row],[Sales]]</f>
        <v>0.20567895726441252</v>
      </c>
      <c r="L968" t="str">
        <f>TEXT(tblSales[[#This Row],[Order Date]],"mmm")</f>
        <v>Dec</v>
      </c>
      <c r="M968">
        <f>YEAR(tblSales[[#This Row],[Order Date]])</f>
        <v>2024</v>
      </c>
    </row>
    <row r="969" spans="1:13">
      <c r="A969" t="s">
        <v>1819</v>
      </c>
      <c r="B969" s="1">
        <v>45631</v>
      </c>
      <c r="C969" t="s">
        <v>20</v>
      </c>
      <c r="D969" t="s">
        <v>73</v>
      </c>
      <c r="E969" t="s">
        <v>74</v>
      </c>
      <c r="F969" t="s">
        <v>1820</v>
      </c>
      <c r="G969">
        <v>75.150000000000006</v>
      </c>
      <c r="H969">
        <v>2</v>
      </c>
      <c r="I969">
        <v>11.77</v>
      </c>
      <c r="J969" t="s">
        <v>18</v>
      </c>
      <c r="K969" s="6">
        <f>tblSales[[#This Row],[Profit]]/tblSales[[#This Row],[Sales]]</f>
        <v>0.15662009314703923</v>
      </c>
      <c r="L969" t="str">
        <f>TEXT(tblSales[[#This Row],[Order Date]],"mmm")</f>
        <v>Dec</v>
      </c>
      <c r="M969">
        <f>YEAR(tblSales[[#This Row],[Order Date]])</f>
        <v>2024</v>
      </c>
    </row>
    <row r="970" spans="1:13">
      <c r="A970" t="s">
        <v>1821</v>
      </c>
      <c r="B970" s="1">
        <v>45632</v>
      </c>
      <c r="C970" t="s">
        <v>39</v>
      </c>
      <c r="D970" t="s">
        <v>26</v>
      </c>
      <c r="E970" t="s">
        <v>27</v>
      </c>
      <c r="F970" t="s">
        <v>1822</v>
      </c>
      <c r="G970">
        <v>365.8</v>
      </c>
      <c r="H970">
        <v>2</v>
      </c>
      <c r="I970">
        <v>79</v>
      </c>
      <c r="J970" t="s">
        <v>18</v>
      </c>
      <c r="K970" s="6">
        <f>tblSales[[#This Row],[Profit]]/tblSales[[#This Row],[Sales]]</f>
        <v>0.21596500820120285</v>
      </c>
      <c r="L970" t="str">
        <f>TEXT(tblSales[[#This Row],[Order Date]],"mmm")</f>
        <v>Dec</v>
      </c>
      <c r="M970">
        <f>YEAR(tblSales[[#This Row],[Order Date]])</f>
        <v>2024</v>
      </c>
    </row>
    <row r="971" spans="1:13">
      <c r="A971" t="s">
        <v>1823</v>
      </c>
      <c r="B971" s="1">
        <v>45633</v>
      </c>
      <c r="C971" t="s">
        <v>33</v>
      </c>
      <c r="D971" t="s">
        <v>21</v>
      </c>
      <c r="E971" t="s">
        <v>89</v>
      </c>
      <c r="F971" t="s">
        <v>1824</v>
      </c>
      <c r="G971">
        <v>119.83</v>
      </c>
      <c r="H971">
        <v>5</v>
      </c>
      <c r="I971">
        <v>23.27</v>
      </c>
      <c r="J971" t="s">
        <v>24</v>
      </c>
      <c r="K971" s="6">
        <f>tblSales[[#This Row],[Profit]]/tblSales[[#This Row],[Sales]]</f>
        <v>0.19419177167654178</v>
      </c>
      <c r="L971" t="str">
        <f>TEXT(tblSales[[#This Row],[Order Date]],"mmm")</f>
        <v>Dec</v>
      </c>
      <c r="M971">
        <f>YEAR(tblSales[[#This Row],[Order Date]])</f>
        <v>2024</v>
      </c>
    </row>
    <row r="972" spans="1:13">
      <c r="A972" t="s">
        <v>1825</v>
      </c>
      <c r="B972" s="1">
        <v>45634</v>
      </c>
      <c r="C972" t="s">
        <v>39</v>
      </c>
      <c r="D972" t="s">
        <v>40</v>
      </c>
      <c r="E972" t="s">
        <v>92</v>
      </c>
      <c r="F972" t="s">
        <v>1826</v>
      </c>
      <c r="G972">
        <v>1010.55</v>
      </c>
      <c r="H972">
        <v>5</v>
      </c>
      <c r="I972">
        <v>202.34</v>
      </c>
      <c r="J972" t="s">
        <v>24</v>
      </c>
      <c r="K972" s="6">
        <f>tblSales[[#This Row],[Profit]]/tblSales[[#This Row],[Sales]]</f>
        <v>0.20022759883231905</v>
      </c>
      <c r="L972" t="str">
        <f>TEXT(tblSales[[#This Row],[Order Date]],"mmm")</f>
        <v>Dec</v>
      </c>
      <c r="M972">
        <f>YEAR(tblSales[[#This Row],[Order Date]])</f>
        <v>2024</v>
      </c>
    </row>
    <row r="973" spans="1:13">
      <c r="A973" t="s">
        <v>1827</v>
      </c>
      <c r="B973" s="1">
        <v>45635</v>
      </c>
      <c r="C973" t="s">
        <v>20</v>
      </c>
      <c r="D973" t="s">
        <v>40</v>
      </c>
      <c r="E973" t="s">
        <v>92</v>
      </c>
      <c r="F973" t="s">
        <v>463</v>
      </c>
      <c r="G973">
        <v>1728.76</v>
      </c>
      <c r="H973">
        <v>6</v>
      </c>
      <c r="I973">
        <v>148.36000000000001</v>
      </c>
      <c r="J973" t="s">
        <v>29</v>
      </c>
      <c r="K973" s="6">
        <f>tblSales[[#This Row],[Profit]]/tblSales[[#This Row],[Sales]]</f>
        <v>8.5818737129503234E-2</v>
      </c>
      <c r="L973" t="str">
        <f>TEXT(tblSales[[#This Row],[Order Date]],"mmm")</f>
        <v>Dec</v>
      </c>
      <c r="M973">
        <f>YEAR(tblSales[[#This Row],[Order Date]])</f>
        <v>2024</v>
      </c>
    </row>
    <row r="974" spans="1:13">
      <c r="A974" t="s">
        <v>1828</v>
      </c>
      <c r="B974" s="1">
        <v>45636</v>
      </c>
      <c r="C974" t="s">
        <v>20</v>
      </c>
      <c r="D974" t="s">
        <v>73</v>
      </c>
      <c r="E974" t="s">
        <v>74</v>
      </c>
      <c r="F974" t="s">
        <v>1829</v>
      </c>
      <c r="G974">
        <v>600.84</v>
      </c>
      <c r="H974">
        <v>4</v>
      </c>
      <c r="I974">
        <v>120.99</v>
      </c>
      <c r="J974" t="s">
        <v>24</v>
      </c>
      <c r="K974" s="6">
        <f>tblSales[[#This Row],[Profit]]/tblSales[[#This Row],[Sales]]</f>
        <v>0.20136808468144596</v>
      </c>
      <c r="L974" t="str">
        <f>TEXT(tblSales[[#This Row],[Order Date]],"mmm")</f>
        <v>Dec</v>
      </c>
      <c r="M974">
        <f>YEAR(tblSales[[#This Row],[Order Date]])</f>
        <v>2024</v>
      </c>
    </row>
    <row r="975" spans="1:13">
      <c r="A975" t="s">
        <v>1830</v>
      </c>
      <c r="B975" s="1">
        <v>45637</v>
      </c>
      <c r="C975" t="s">
        <v>39</v>
      </c>
      <c r="D975" t="s">
        <v>15</v>
      </c>
      <c r="E975" t="s">
        <v>79</v>
      </c>
      <c r="F975" t="s">
        <v>1096</v>
      </c>
      <c r="G975">
        <v>1678.31</v>
      </c>
      <c r="H975">
        <v>4</v>
      </c>
      <c r="I975">
        <v>480.8</v>
      </c>
      <c r="J975" t="s">
        <v>18</v>
      </c>
      <c r="K975" s="6">
        <f>tblSales[[#This Row],[Profit]]/tblSales[[#This Row],[Sales]]</f>
        <v>0.28647866008067641</v>
      </c>
      <c r="L975" t="str">
        <f>TEXT(tblSales[[#This Row],[Order Date]],"mmm")</f>
        <v>Dec</v>
      </c>
      <c r="M975">
        <f>YEAR(tblSales[[#This Row],[Order Date]])</f>
        <v>2024</v>
      </c>
    </row>
    <row r="976" spans="1:13">
      <c r="A976" t="s">
        <v>1831</v>
      </c>
      <c r="B976" s="1">
        <v>45638</v>
      </c>
      <c r="C976" t="s">
        <v>39</v>
      </c>
      <c r="D976" t="s">
        <v>26</v>
      </c>
      <c r="E976" t="s">
        <v>49</v>
      </c>
      <c r="F976" t="s">
        <v>1832</v>
      </c>
      <c r="G976">
        <v>22.2</v>
      </c>
      <c r="H976">
        <v>5</v>
      </c>
      <c r="I976">
        <v>4.78</v>
      </c>
      <c r="J976" t="s">
        <v>18</v>
      </c>
      <c r="K976" s="6">
        <f>tblSales[[#This Row],[Profit]]/tblSales[[#This Row],[Sales]]</f>
        <v>0.21531531531531534</v>
      </c>
      <c r="L976" t="str">
        <f>TEXT(tblSales[[#This Row],[Order Date]],"mmm")</f>
        <v>Dec</v>
      </c>
      <c r="M976">
        <f>YEAR(tblSales[[#This Row],[Order Date]])</f>
        <v>2024</v>
      </c>
    </row>
    <row r="977" spans="1:13">
      <c r="A977" t="s">
        <v>1833</v>
      </c>
      <c r="B977" s="1">
        <v>45639</v>
      </c>
      <c r="C977" t="s">
        <v>20</v>
      </c>
      <c r="D977" t="s">
        <v>26</v>
      </c>
      <c r="E977" t="s">
        <v>27</v>
      </c>
      <c r="F977" t="s">
        <v>1746</v>
      </c>
      <c r="G977">
        <v>1375.56</v>
      </c>
      <c r="H977">
        <v>1</v>
      </c>
      <c r="I977">
        <v>297.48</v>
      </c>
      <c r="J977" t="s">
        <v>24</v>
      </c>
      <c r="K977" s="6">
        <f>tblSales[[#This Row],[Profit]]/tblSales[[#This Row],[Sales]]</f>
        <v>0.2162610136962401</v>
      </c>
      <c r="L977" t="str">
        <f>TEXT(tblSales[[#This Row],[Order Date]],"mmm")</f>
        <v>Dec</v>
      </c>
      <c r="M977">
        <f>YEAR(tblSales[[#This Row],[Order Date]])</f>
        <v>2024</v>
      </c>
    </row>
    <row r="978" spans="1:13">
      <c r="A978" t="s">
        <v>1834</v>
      </c>
      <c r="B978" s="1">
        <v>45640</v>
      </c>
      <c r="C978" t="s">
        <v>33</v>
      </c>
      <c r="D978" t="s">
        <v>73</v>
      </c>
      <c r="E978" t="s">
        <v>164</v>
      </c>
      <c r="F978" t="s">
        <v>1835</v>
      </c>
      <c r="G978">
        <v>698.61</v>
      </c>
      <c r="H978">
        <v>1</v>
      </c>
      <c r="I978">
        <v>180.16</v>
      </c>
      <c r="J978" t="s">
        <v>29</v>
      </c>
      <c r="K978" s="6">
        <f>tblSales[[#This Row],[Profit]]/tblSales[[#This Row],[Sales]]</f>
        <v>0.25788351154435235</v>
      </c>
      <c r="L978" t="str">
        <f>TEXT(tblSales[[#This Row],[Order Date]],"mmm")</f>
        <v>Dec</v>
      </c>
      <c r="M978">
        <f>YEAR(tblSales[[#This Row],[Order Date]])</f>
        <v>2024</v>
      </c>
    </row>
    <row r="979" spans="1:13">
      <c r="A979" t="s">
        <v>1836</v>
      </c>
      <c r="B979" s="1">
        <v>45641</v>
      </c>
      <c r="C979" t="s">
        <v>20</v>
      </c>
      <c r="D979" t="s">
        <v>40</v>
      </c>
      <c r="E979" t="s">
        <v>41</v>
      </c>
      <c r="F979" t="s">
        <v>1837</v>
      </c>
      <c r="G979">
        <v>1306.58</v>
      </c>
      <c r="H979">
        <v>4</v>
      </c>
      <c r="I979">
        <v>275.98</v>
      </c>
      <c r="J979" t="s">
        <v>18</v>
      </c>
      <c r="K979" s="6">
        <f>tblSales[[#This Row],[Profit]]/tblSales[[#This Row],[Sales]]</f>
        <v>0.21122319337507081</v>
      </c>
      <c r="L979" t="str">
        <f>TEXT(tblSales[[#This Row],[Order Date]],"mmm")</f>
        <v>Dec</v>
      </c>
      <c r="M979">
        <f>YEAR(tblSales[[#This Row],[Order Date]])</f>
        <v>2024</v>
      </c>
    </row>
    <row r="980" spans="1:13">
      <c r="A980" t="s">
        <v>1838</v>
      </c>
      <c r="B980" s="1">
        <v>45642</v>
      </c>
      <c r="C980" t="s">
        <v>14</v>
      </c>
      <c r="D980" t="s">
        <v>21</v>
      </c>
      <c r="E980" t="s">
        <v>22</v>
      </c>
      <c r="F980" t="s">
        <v>1839</v>
      </c>
      <c r="G980">
        <v>1784.58</v>
      </c>
      <c r="H980">
        <v>5</v>
      </c>
      <c r="I980">
        <v>406.95</v>
      </c>
      <c r="J980" t="s">
        <v>24</v>
      </c>
      <c r="K980" s="6">
        <f>tblSales[[#This Row],[Profit]]/tblSales[[#This Row],[Sales]]</f>
        <v>0.22803684900648893</v>
      </c>
      <c r="L980" t="str">
        <f>TEXT(tblSales[[#This Row],[Order Date]],"mmm")</f>
        <v>Dec</v>
      </c>
      <c r="M980">
        <f>YEAR(tblSales[[#This Row],[Order Date]])</f>
        <v>2024</v>
      </c>
    </row>
    <row r="981" spans="1:13">
      <c r="A981" t="s">
        <v>1840</v>
      </c>
      <c r="B981" s="1">
        <v>45643</v>
      </c>
      <c r="C981" t="s">
        <v>39</v>
      </c>
      <c r="D981" t="s">
        <v>15</v>
      </c>
      <c r="E981" t="s">
        <v>60</v>
      </c>
      <c r="F981" t="s">
        <v>1794</v>
      </c>
      <c r="G981">
        <v>313.47000000000003</v>
      </c>
      <c r="H981">
        <v>7</v>
      </c>
      <c r="I981">
        <v>79.56</v>
      </c>
      <c r="J981" t="s">
        <v>18</v>
      </c>
      <c r="K981" s="6">
        <f>tblSales[[#This Row],[Profit]]/tblSales[[#This Row],[Sales]]</f>
        <v>0.25380419178868791</v>
      </c>
      <c r="L981" t="str">
        <f>TEXT(tblSales[[#This Row],[Order Date]],"mmm")</f>
        <v>Dec</v>
      </c>
      <c r="M981">
        <f>YEAR(tblSales[[#This Row],[Order Date]])</f>
        <v>2024</v>
      </c>
    </row>
    <row r="982" spans="1:13">
      <c r="A982" t="s">
        <v>1841</v>
      </c>
      <c r="B982" s="1">
        <v>45644</v>
      </c>
      <c r="C982" t="s">
        <v>20</v>
      </c>
      <c r="D982" t="s">
        <v>73</v>
      </c>
      <c r="E982" t="s">
        <v>74</v>
      </c>
      <c r="F982" t="s">
        <v>1842</v>
      </c>
      <c r="G982">
        <v>1799.6</v>
      </c>
      <c r="H982">
        <v>6</v>
      </c>
      <c r="I982">
        <v>455.41</v>
      </c>
      <c r="J982" t="s">
        <v>18</v>
      </c>
      <c r="K982" s="6">
        <f>tblSales[[#This Row],[Profit]]/tblSales[[#This Row],[Sales]]</f>
        <v>0.25306179150922431</v>
      </c>
      <c r="L982" t="str">
        <f>TEXT(tblSales[[#This Row],[Order Date]],"mmm")</f>
        <v>Dec</v>
      </c>
      <c r="M982">
        <f>YEAR(tblSales[[#This Row],[Order Date]])</f>
        <v>2024</v>
      </c>
    </row>
    <row r="983" spans="1:13">
      <c r="A983" t="s">
        <v>1843</v>
      </c>
      <c r="B983" s="1">
        <v>45645</v>
      </c>
      <c r="C983" t="s">
        <v>20</v>
      </c>
      <c r="D983" t="s">
        <v>40</v>
      </c>
      <c r="E983" t="s">
        <v>41</v>
      </c>
      <c r="F983" t="s">
        <v>1844</v>
      </c>
      <c r="G983">
        <v>1339.21</v>
      </c>
      <c r="H983">
        <v>5</v>
      </c>
      <c r="I983">
        <v>197.11</v>
      </c>
      <c r="J983" t="s">
        <v>18</v>
      </c>
      <c r="K983" s="6">
        <f>tblSales[[#This Row],[Profit]]/tblSales[[#This Row],[Sales]]</f>
        <v>0.14718378745678423</v>
      </c>
      <c r="L983" t="str">
        <f>TEXT(tblSales[[#This Row],[Order Date]],"mmm")</f>
        <v>Dec</v>
      </c>
      <c r="M983">
        <f>YEAR(tblSales[[#This Row],[Order Date]])</f>
        <v>2024</v>
      </c>
    </row>
    <row r="984" spans="1:13">
      <c r="A984" t="s">
        <v>1845</v>
      </c>
      <c r="B984" s="1">
        <v>45646</v>
      </c>
      <c r="C984" t="s">
        <v>14</v>
      </c>
      <c r="D984" t="s">
        <v>73</v>
      </c>
      <c r="E984" t="s">
        <v>74</v>
      </c>
      <c r="F984" t="s">
        <v>1846</v>
      </c>
      <c r="G984">
        <v>208.03</v>
      </c>
      <c r="H984">
        <v>4</v>
      </c>
      <c r="I984">
        <v>17.579999999999998</v>
      </c>
      <c r="J984" t="s">
        <v>24</v>
      </c>
      <c r="K984" s="6">
        <f>tblSales[[#This Row],[Profit]]/tblSales[[#This Row],[Sales]]</f>
        <v>8.4507042253521111E-2</v>
      </c>
      <c r="L984" t="str">
        <f>TEXT(tblSales[[#This Row],[Order Date]],"mmm")</f>
        <v>Dec</v>
      </c>
      <c r="M984">
        <f>YEAR(tblSales[[#This Row],[Order Date]])</f>
        <v>2024</v>
      </c>
    </row>
    <row r="985" spans="1:13">
      <c r="A985" t="s">
        <v>1847</v>
      </c>
      <c r="B985" s="1">
        <v>45647</v>
      </c>
      <c r="C985" t="s">
        <v>14</v>
      </c>
      <c r="D985" t="s">
        <v>26</v>
      </c>
      <c r="E985" t="s">
        <v>27</v>
      </c>
      <c r="F985" t="s">
        <v>1848</v>
      </c>
      <c r="G985">
        <v>1662.85</v>
      </c>
      <c r="H985">
        <v>6</v>
      </c>
      <c r="I985">
        <v>267.76</v>
      </c>
      <c r="J985" t="s">
        <v>24</v>
      </c>
      <c r="K985" s="6">
        <f>tblSales[[#This Row],[Profit]]/tblSales[[#This Row],[Sales]]</f>
        <v>0.16102474666987401</v>
      </c>
      <c r="L985" t="str">
        <f>TEXT(tblSales[[#This Row],[Order Date]],"mmm")</f>
        <v>Dec</v>
      </c>
      <c r="M985">
        <f>YEAR(tblSales[[#This Row],[Order Date]])</f>
        <v>2024</v>
      </c>
    </row>
    <row r="986" spans="1:13">
      <c r="A986" t="s">
        <v>1849</v>
      </c>
      <c r="B986" s="1">
        <v>45648</v>
      </c>
      <c r="C986" t="s">
        <v>14</v>
      </c>
      <c r="D986" t="s">
        <v>73</v>
      </c>
      <c r="E986" t="s">
        <v>74</v>
      </c>
      <c r="F986" t="s">
        <v>1850</v>
      </c>
      <c r="G986">
        <v>1991.23</v>
      </c>
      <c r="H986">
        <v>3</v>
      </c>
      <c r="I986">
        <v>504.02</v>
      </c>
      <c r="J986" t="s">
        <v>29</v>
      </c>
      <c r="K986" s="6">
        <f>tblSales[[#This Row],[Profit]]/tblSales[[#This Row],[Sales]]</f>
        <v>0.25311993089698326</v>
      </c>
      <c r="L986" t="str">
        <f>TEXT(tblSales[[#This Row],[Order Date]],"mmm")</f>
        <v>Dec</v>
      </c>
      <c r="M986">
        <f>YEAR(tblSales[[#This Row],[Order Date]])</f>
        <v>2024</v>
      </c>
    </row>
    <row r="987" spans="1:13">
      <c r="A987" t="s">
        <v>1851</v>
      </c>
      <c r="B987" s="1">
        <v>45649</v>
      </c>
      <c r="C987" t="s">
        <v>39</v>
      </c>
      <c r="D987" t="s">
        <v>26</v>
      </c>
      <c r="E987" t="s">
        <v>49</v>
      </c>
      <c r="F987" t="s">
        <v>346</v>
      </c>
      <c r="G987">
        <v>625.37</v>
      </c>
      <c r="H987">
        <v>1</v>
      </c>
      <c r="I987">
        <v>107.73</v>
      </c>
      <c r="J987" t="s">
        <v>24</v>
      </c>
      <c r="K987" s="6">
        <f>tblSales[[#This Row],[Profit]]/tblSales[[#This Row],[Sales]]</f>
        <v>0.17226601851703791</v>
      </c>
      <c r="L987" t="str">
        <f>TEXT(tblSales[[#This Row],[Order Date]],"mmm")</f>
        <v>Dec</v>
      </c>
      <c r="M987">
        <f>YEAR(tblSales[[#This Row],[Order Date]])</f>
        <v>2024</v>
      </c>
    </row>
    <row r="988" spans="1:13">
      <c r="A988" t="s">
        <v>1852</v>
      </c>
      <c r="B988" s="1">
        <v>45650</v>
      </c>
      <c r="C988" t="s">
        <v>20</v>
      </c>
      <c r="D988" t="s">
        <v>73</v>
      </c>
      <c r="E988" t="s">
        <v>164</v>
      </c>
      <c r="F988" t="s">
        <v>1581</v>
      </c>
      <c r="G988">
        <v>644.16999999999996</v>
      </c>
      <c r="H988">
        <v>3</v>
      </c>
      <c r="I988">
        <v>90.94</v>
      </c>
      <c r="J988" t="s">
        <v>18</v>
      </c>
      <c r="K988" s="6">
        <f>tblSales[[#This Row],[Profit]]/tblSales[[#This Row],[Sales]]</f>
        <v>0.14117391371842838</v>
      </c>
      <c r="L988" t="str">
        <f>TEXT(tblSales[[#This Row],[Order Date]],"mmm")</f>
        <v>Dec</v>
      </c>
      <c r="M988">
        <f>YEAR(tblSales[[#This Row],[Order Date]])</f>
        <v>2024</v>
      </c>
    </row>
    <row r="989" spans="1:13">
      <c r="A989" t="s">
        <v>1853</v>
      </c>
      <c r="B989" s="1">
        <v>45651</v>
      </c>
      <c r="C989" t="s">
        <v>14</v>
      </c>
      <c r="D989" t="s">
        <v>15</v>
      </c>
      <c r="E989" t="s">
        <v>16</v>
      </c>
      <c r="F989" t="s">
        <v>1107</v>
      </c>
      <c r="G989">
        <v>1339.9</v>
      </c>
      <c r="H989">
        <v>4</v>
      </c>
      <c r="I989">
        <v>301.68</v>
      </c>
      <c r="J989" t="s">
        <v>18</v>
      </c>
      <c r="K989" s="6">
        <f>tblSales[[#This Row],[Profit]]/tblSales[[#This Row],[Sales]]</f>
        <v>0.22515113068139411</v>
      </c>
      <c r="L989" t="str">
        <f>TEXT(tblSales[[#This Row],[Order Date]],"mmm")</f>
        <v>Dec</v>
      </c>
      <c r="M989">
        <f>YEAR(tblSales[[#This Row],[Order Date]])</f>
        <v>2024</v>
      </c>
    </row>
    <row r="990" spans="1:13">
      <c r="A990" t="s">
        <v>1854</v>
      </c>
      <c r="B990" s="1">
        <v>45652</v>
      </c>
      <c r="C990" t="s">
        <v>14</v>
      </c>
      <c r="D990" t="s">
        <v>15</v>
      </c>
      <c r="E990" t="s">
        <v>52</v>
      </c>
      <c r="F990" t="s">
        <v>1855</v>
      </c>
      <c r="G990">
        <v>1748.26</v>
      </c>
      <c r="H990">
        <v>6</v>
      </c>
      <c r="I990">
        <v>522.15</v>
      </c>
      <c r="J990" t="s">
        <v>29</v>
      </c>
      <c r="K990" s="6">
        <f>tblSales[[#This Row],[Profit]]/tblSales[[#This Row],[Sales]]</f>
        <v>0.29866839028519782</v>
      </c>
      <c r="L990" t="str">
        <f>TEXT(tblSales[[#This Row],[Order Date]],"mmm")</f>
        <v>Dec</v>
      </c>
      <c r="M990">
        <f>YEAR(tblSales[[#This Row],[Order Date]])</f>
        <v>2024</v>
      </c>
    </row>
    <row r="991" spans="1:13">
      <c r="A991" t="s">
        <v>1856</v>
      </c>
      <c r="B991" s="1">
        <v>45653</v>
      </c>
      <c r="C991" t="s">
        <v>33</v>
      </c>
      <c r="D991" t="s">
        <v>40</v>
      </c>
      <c r="E991" t="s">
        <v>41</v>
      </c>
      <c r="F991" t="s">
        <v>1857</v>
      </c>
      <c r="G991">
        <v>389.55</v>
      </c>
      <c r="H991">
        <v>9</v>
      </c>
      <c r="I991">
        <v>47.19</v>
      </c>
      <c r="J991" t="s">
        <v>18</v>
      </c>
      <c r="K991" s="6">
        <f>tblSales[[#This Row],[Profit]]/tblSales[[#This Row],[Sales]]</f>
        <v>0.12113977666538313</v>
      </c>
      <c r="L991" t="str">
        <f>TEXT(tblSales[[#This Row],[Order Date]],"mmm")</f>
        <v>Dec</v>
      </c>
      <c r="M991">
        <f>YEAR(tblSales[[#This Row],[Order Date]])</f>
        <v>2024</v>
      </c>
    </row>
    <row r="992" spans="1:13">
      <c r="A992" t="s">
        <v>1858</v>
      </c>
      <c r="B992" s="1">
        <v>45654</v>
      </c>
      <c r="C992" t="s">
        <v>14</v>
      </c>
      <c r="D992" t="s">
        <v>26</v>
      </c>
      <c r="E992" t="s">
        <v>27</v>
      </c>
      <c r="F992" t="s">
        <v>1801</v>
      </c>
      <c r="G992">
        <v>1241.8699999999999</v>
      </c>
      <c r="H992">
        <v>6</v>
      </c>
      <c r="I992">
        <v>134.29</v>
      </c>
      <c r="J992" t="s">
        <v>18</v>
      </c>
      <c r="K992" s="6">
        <f>tblSales[[#This Row],[Profit]]/tblSales[[#This Row],[Sales]]</f>
        <v>0.10813531206970134</v>
      </c>
      <c r="L992" t="str">
        <f>TEXT(tblSales[[#This Row],[Order Date]],"mmm")</f>
        <v>Dec</v>
      </c>
      <c r="M992">
        <f>YEAR(tblSales[[#This Row],[Order Date]])</f>
        <v>2024</v>
      </c>
    </row>
    <row r="993" spans="1:13">
      <c r="A993" t="s">
        <v>1859</v>
      </c>
      <c r="B993" s="1">
        <v>45655</v>
      </c>
      <c r="C993" t="s">
        <v>20</v>
      </c>
      <c r="D993" t="s">
        <v>73</v>
      </c>
      <c r="E993" t="s">
        <v>84</v>
      </c>
      <c r="F993" t="s">
        <v>769</v>
      </c>
      <c r="G993">
        <v>1056.6600000000001</v>
      </c>
      <c r="H993">
        <v>3</v>
      </c>
      <c r="I993">
        <v>179.23</v>
      </c>
      <c r="J993" t="s">
        <v>29</v>
      </c>
      <c r="K993" s="6">
        <f>tblSales[[#This Row],[Profit]]/tblSales[[#This Row],[Sales]]</f>
        <v>0.16961936668370145</v>
      </c>
      <c r="L993" t="str">
        <f>TEXT(tblSales[[#This Row],[Order Date]],"mmm")</f>
        <v>Dec</v>
      </c>
      <c r="M993">
        <f>YEAR(tblSales[[#This Row],[Order Date]])</f>
        <v>2024</v>
      </c>
    </row>
    <row r="994" spans="1:13">
      <c r="A994" t="s">
        <v>1860</v>
      </c>
      <c r="B994" s="1">
        <v>45656</v>
      </c>
      <c r="C994" t="s">
        <v>20</v>
      </c>
      <c r="D994" t="s">
        <v>15</v>
      </c>
      <c r="E994" t="s">
        <v>16</v>
      </c>
      <c r="F994" t="s">
        <v>1861</v>
      </c>
      <c r="G994">
        <v>1091.92</v>
      </c>
      <c r="H994">
        <v>4</v>
      </c>
      <c r="I994">
        <v>232.55</v>
      </c>
      <c r="J994" t="s">
        <v>29</v>
      </c>
      <c r="K994" s="6">
        <f>tblSales[[#This Row],[Profit]]/tblSales[[#This Row],[Sales]]</f>
        <v>0.21297347791046964</v>
      </c>
      <c r="L994" t="str">
        <f>TEXT(tblSales[[#This Row],[Order Date]],"mmm")</f>
        <v>Dec</v>
      </c>
      <c r="M994">
        <f>YEAR(tblSales[[#This Row],[Order Date]])</f>
        <v>2024</v>
      </c>
    </row>
    <row r="995" spans="1:13">
      <c r="A995" t="s">
        <v>1862</v>
      </c>
      <c r="B995" s="1">
        <v>45657</v>
      </c>
      <c r="C995" t="s">
        <v>14</v>
      </c>
      <c r="D995" t="s">
        <v>21</v>
      </c>
      <c r="E995" t="s">
        <v>57</v>
      </c>
      <c r="F995" t="s">
        <v>1863</v>
      </c>
      <c r="G995">
        <v>1179.46</v>
      </c>
      <c r="H995">
        <v>7</v>
      </c>
      <c r="I995">
        <v>127.89</v>
      </c>
      <c r="J995" t="s">
        <v>18</v>
      </c>
      <c r="K995" s="6">
        <f>tblSales[[#This Row],[Profit]]/tblSales[[#This Row],[Sales]]</f>
        <v>0.10843097688772828</v>
      </c>
      <c r="L995" t="str">
        <f>TEXT(tblSales[[#This Row],[Order Date]],"mmm")</f>
        <v>Dec</v>
      </c>
      <c r="M995">
        <f>YEAR(tblSales[[#This Row],[Order Date]])</f>
        <v>2024</v>
      </c>
    </row>
    <row r="996" spans="1:13">
      <c r="A996" t="s">
        <v>1864</v>
      </c>
      <c r="B996" s="1">
        <v>45658</v>
      </c>
      <c r="C996" t="s">
        <v>33</v>
      </c>
      <c r="D996" t="s">
        <v>40</v>
      </c>
      <c r="E996" t="s">
        <v>44</v>
      </c>
      <c r="F996" t="s">
        <v>1865</v>
      </c>
      <c r="G996">
        <v>1643.73</v>
      </c>
      <c r="H996">
        <v>6</v>
      </c>
      <c r="I996">
        <v>297.19</v>
      </c>
      <c r="J996" t="s">
        <v>29</v>
      </c>
      <c r="K996" s="6">
        <f>tblSales[[#This Row],[Profit]]/tblSales[[#This Row],[Sales]]</f>
        <v>0.18080219987467527</v>
      </c>
      <c r="L996" t="str">
        <f>TEXT(tblSales[[#This Row],[Order Date]],"mmm")</f>
        <v>Jan</v>
      </c>
      <c r="M996">
        <f>YEAR(tblSales[[#This Row],[Order Date]])</f>
        <v>2025</v>
      </c>
    </row>
    <row r="997" spans="1:13">
      <c r="A997" t="s">
        <v>1866</v>
      </c>
      <c r="B997" s="1">
        <v>45659</v>
      </c>
      <c r="C997" t="s">
        <v>20</v>
      </c>
      <c r="D997" t="s">
        <v>73</v>
      </c>
      <c r="E997" t="s">
        <v>74</v>
      </c>
      <c r="F997" t="s">
        <v>977</v>
      </c>
      <c r="G997">
        <v>810.35</v>
      </c>
      <c r="H997">
        <v>4</v>
      </c>
      <c r="I997">
        <v>102.87</v>
      </c>
      <c r="J997" t="s">
        <v>29</v>
      </c>
      <c r="K997" s="6">
        <f>tblSales[[#This Row],[Profit]]/tblSales[[#This Row],[Sales]]</f>
        <v>0.12694514715863517</v>
      </c>
      <c r="L997" t="str">
        <f>TEXT(tblSales[[#This Row],[Order Date]],"mmm")</f>
        <v>Jan</v>
      </c>
      <c r="M997">
        <f>YEAR(tblSales[[#This Row],[Order Date]])</f>
        <v>2025</v>
      </c>
    </row>
    <row r="998" spans="1:13">
      <c r="A998" t="s">
        <v>1867</v>
      </c>
      <c r="B998" s="1">
        <v>45660</v>
      </c>
      <c r="C998" t="s">
        <v>20</v>
      </c>
      <c r="D998" t="s">
        <v>15</v>
      </c>
      <c r="E998" t="s">
        <v>79</v>
      </c>
      <c r="F998" t="s">
        <v>1868</v>
      </c>
      <c r="G998">
        <v>1954.52</v>
      </c>
      <c r="H998">
        <v>8</v>
      </c>
      <c r="I998">
        <v>382.66</v>
      </c>
      <c r="J998" t="s">
        <v>18</v>
      </c>
      <c r="K998" s="6">
        <f>tblSales[[#This Row],[Profit]]/tblSales[[#This Row],[Sales]]</f>
        <v>0.19578208460389254</v>
      </c>
      <c r="L998" t="str">
        <f>TEXT(tblSales[[#This Row],[Order Date]],"mmm")</f>
        <v>Jan</v>
      </c>
      <c r="M998">
        <f>YEAR(tblSales[[#This Row],[Order Date]])</f>
        <v>2025</v>
      </c>
    </row>
    <row r="999" spans="1:13">
      <c r="A999" t="s">
        <v>1869</v>
      </c>
      <c r="B999" s="1">
        <v>45661</v>
      </c>
      <c r="C999" t="s">
        <v>33</v>
      </c>
      <c r="D999" t="s">
        <v>26</v>
      </c>
      <c r="E999" t="s">
        <v>49</v>
      </c>
      <c r="F999" t="s">
        <v>1870</v>
      </c>
      <c r="G999">
        <v>1289.1099999999999</v>
      </c>
      <c r="H999">
        <v>4</v>
      </c>
      <c r="I999">
        <v>125.67</v>
      </c>
      <c r="J999" t="s">
        <v>29</v>
      </c>
      <c r="K999" s="6">
        <f>tblSales[[#This Row],[Profit]]/tblSales[[#This Row],[Sales]]</f>
        <v>9.7485862339133214E-2</v>
      </c>
      <c r="L999" t="str">
        <f>TEXT(tblSales[[#This Row],[Order Date]],"mmm")</f>
        <v>Jan</v>
      </c>
      <c r="M999">
        <f>YEAR(tblSales[[#This Row],[Order Date]])</f>
        <v>2025</v>
      </c>
    </row>
    <row r="1000" spans="1:13">
      <c r="A1000" t="s">
        <v>1871</v>
      </c>
      <c r="B1000" s="1">
        <v>45662</v>
      </c>
      <c r="C1000" t="s">
        <v>20</v>
      </c>
      <c r="D1000" t="s">
        <v>26</v>
      </c>
      <c r="E1000" t="s">
        <v>27</v>
      </c>
      <c r="F1000" t="s">
        <v>1450</v>
      </c>
      <c r="G1000">
        <v>1121.8</v>
      </c>
      <c r="H1000">
        <v>3</v>
      </c>
      <c r="I1000">
        <v>311.68</v>
      </c>
      <c r="J1000" t="s">
        <v>29</v>
      </c>
      <c r="K1000" s="6">
        <f>tblSales[[#This Row],[Profit]]/tblSales[[#This Row],[Sales]]</f>
        <v>0.27783918702085936</v>
      </c>
      <c r="L1000" t="str">
        <f>TEXT(tblSales[[#This Row],[Order Date]],"mmm")</f>
        <v>Jan</v>
      </c>
      <c r="M1000">
        <f>YEAR(tblSales[[#This Row],[Order Date]])</f>
        <v>2025</v>
      </c>
    </row>
    <row r="1001" spans="1:13">
      <c r="A1001" t="s">
        <v>1872</v>
      </c>
      <c r="B1001" s="1">
        <v>45663</v>
      </c>
      <c r="C1001" t="s">
        <v>20</v>
      </c>
      <c r="D1001" t="s">
        <v>21</v>
      </c>
      <c r="E1001" t="s">
        <v>57</v>
      </c>
      <c r="F1001" t="s">
        <v>1873</v>
      </c>
      <c r="G1001">
        <v>645.23</v>
      </c>
      <c r="H1001">
        <v>9</v>
      </c>
      <c r="I1001">
        <v>189.57</v>
      </c>
      <c r="J1001" t="s">
        <v>24</v>
      </c>
      <c r="K1001" s="6">
        <f>tblSales[[#This Row],[Profit]]/tblSales[[#This Row],[Sales]]</f>
        <v>0.29380221006462809</v>
      </c>
      <c r="L1001" t="str">
        <f>TEXT(tblSales[[#This Row],[Order Date]],"mmm")</f>
        <v>Jan</v>
      </c>
      <c r="M1001">
        <f>YEAR(tblSales[[#This Row],[Order Date]])</f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9288-58F3-4623-8A68-A9F6BA449A44}">
  <dimension ref="A3:D75"/>
  <sheetViews>
    <sheetView topLeftCell="A34" workbookViewId="0">
      <selection activeCell="C37" sqref="C37"/>
    </sheetView>
  </sheetViews>
  <sheetFormatPr defaultRowHeight="15"/>
  <cols>
    <col min="1" max="1" width="15.140625" bestFit="1" customWidth="1"/>
    <col min="2" max="2" width="12.140625" bestFit="1" customWidth="1"/>
    <col min="3" max="3" width="12.5703125" bestFit="1" customWidth="1"/>
    <col min="4" max="4" width="22.85546875" bestFit="1" customWidth="1"/>
    <col min="5" max="5" width="11.140625" bestFit="1" customWidth="1"/>
    <col min="6" max="8" width="12.28515625" bestFit="1" customWidth="1"/>
    <col min="9" max="10" width="11.140625" bestFit="1" customWidth="1"/>
    <col min="11" max="20" width="12.28515625" bestFit="1" customWidth="1"/>
    <col min="21" max="21" width="11.140625" bestFit="1" customWidth="1"/>
    <col min="22" max="32" width="12.28515625" bestFit="1" customWidth="1"/>
    <col min="33" max="33" width="11.140625" bestFit="1" customWidth="1"/>
    <col min="34" max="44" width="12.28515625" bestFit="1" customWidth="1"/>
    <col min="45" max="45" width="11.140625" bestFit="1" customWidth="1"/>
    <col min="46" max="58" width="12.28515625" bestFit="1" customWidth="1"/>
    <col min="59" max="59" width="11.140625" bestFit="1" customWidth="1"/>
    <col min="60" max="61" width="12.28515625" bestFit="1" customWidth="1"/>
    <col min="62" max="62" width="8" bestFit="1" customWidth="1"/>
    <col min="63" max="68" width="12.28515625" bestFit="1" customWidth="1"/>
    <col min="69" max="70" width="11.140625" bestFit="1" customWidth="1"/>
    <col min="71" max="80" width="12.28515625" bestFit="1" customWidth="1"/>
    <col min="81" max="81" width="11.140625" bestFit="1" customWidth="1"/>
    <col min="82" max="83" width="12.28515625" bestFit="1" customWidth="1"/>
    <col min="84" max="85" width="11.140625" bestFit="1" customWidth="1"/>
    <col min="86" max="117" width="12.28515625" bestFit="1" customWidth="1"/>
    <col min="118" max="118" width="11.140625" bestFit="1" customWidth="1"/>
    <col min="119" max="120" width="12.28515625" bestFit="1" customWidth="1"/>
    <col min="121" max="121" width="11.140625" bestFit="1" customWidth="1"/>
    <col min="122" max="126" width="12.28515625" bestFit="1" customWidth="1"/>
    <col min="127" max="127" width="11.140625" bestFit="1" customWidth="1"/>
    <col min="128" max="141" width="12.28515625" bestFit="1" customWidth="1"/>
    <col min="142" max="142" width="11.140625" bestFit="1" customWidth="1"/>
    <col min="143" max="146" width="12.28515625" bestFit="1" customWidth="1"/>
    <col min="147" max="147" width="11.140625" bestFit="1" customWidth="1"/>
    <col min="148" max="153" width="12.28515625" bestFit="1" customWidth="1"/>
    <col min="154" max="154" width="11.140625" bestFit="1" customWidth="1"/>
    <col min="155" max="164" width="12.28515625" bestFit="1" customWidth="1"/>
    <col min="165" max="165" width="11.140625" bestFit="1" customWidth="1"/>
    <col min="166" max="179" width="12.28515625" bestFit="1" customWidth="1"/>
    <col min="180" max="180" width="11.140625" bestFit="1" customWidth="1"/>
    <col min="181" max="207" width="12.28515625" bestFit="1" customWidth="1"/>
    <col min="208" max="208" width="11.140625" bestFit="1" customWidth="1"/>
    <col min="209" max="226" width="12.28515625" bestFit="1" customWidth="1"/>
    <col min="227" max="227" width="11.140625" bestFit="1" customWidth="1"/>
    <col min="228" max="239" width="12.28515625" bestFit="1" customWidth="1"/>
    <col min="240" max="241" width="11.140625" bestFit="1" customWidth="1"/>
    <col min="242" max="276" width="12.28515625" bestFit="1" customWidth="1"/>
    <col min="277" max="277" width="11.140625" bestFit="1" customWidth="1"/>
    <col min="278" max="283" width="12.28515625" bestFit="1" customWidth="1"/>
    <col min="284" max="284" width="11.140625" bestFit="1" customWidth="1"/>
    <col min="285" max="290" width="12.28515625" bestFit="1" customWidth="1"/>
    <col min="291" max="291" width="11.140625" bestFit="1" customWidth="1"/>
    <col min="292" max="294" width="12.28515625" bestFit="1" customWidth="1"/>
    <col min="295" max="295" width="11.140625" bestFit="1" customWidth="1"/>
    <col min="296" max="303" width="12.28515625" bestFit="1" customWidth="1"/>
    <col min="304" max="305" width="11.140625" bestFit="1" customWidth="1"/>
    <col min="306" max="330" width="12.28515625" bestFit="1" customWidth="1"/>
    <col min="331" max="331" width="11.140625" bestFit="1" customWidth="1"/>
    <col min="332" max="385" width="12.28515625" bestFit="1" customWidth="1"/>
    <col min="386" max="386" width="11.140625" bestFit="1" customWidth="1"/>
    <col min="387" max="390" width="12.28515625" bestFit="1" customWidth="1"/>
    <col min="391" max="391" width="11.140625" bestFit="1" customWidth="1"/>
    <col min="392" max="412" width="12.28515625" bestFit="1" customWidth="1"/>
    <col min="413" max="413" width="11.140625" bestFit="1" customWidth="1"/>
    <col min="414" max="419" width="12.28515625" bestFit="1" customWidth="1"/>
    <col min="420" max="420" width="11.140625" bestFit="1" customWidth="1"/>
    <col min="421" max="455" width="12.28515625" bestFit="1" customWidth="1"/>
    <col min="456" max="456" width="11.140625" bestFit="1" customWidth="1"/>
    <col min="457" max="459" width="12.28515625" bestFit="1" customWidth="1"/>
    <col min="460" max="461" width="11.140625" bestFit="1" customWidth="1"/>
    <col min="462" max="462" width="12.28515625" bestFit="1" customWidth="1"/>
    <col min="463" max="463" width="11.140625" bestFit="1" customWidth="1"/>
    <col min="464" max="467" width="12.28515625" bestFit="1" customWidth="1"/>
    <col min="468" max="468" width="11.140625" bestFit="1" customWidth="1"/>
    <col min="469" max="473" width="12.28515625" bestFit="1" customWidth="1"/>
    <col min="474" max="474" width="11.140625" bestFit="1" customWidth="1"/>
    <col min="475" max="488" width="12.28515625" bestFit="1" customWidth="1"/>
    <col min="489" max="489" width="11.140625" bestFit="1" customWidth="1"/>
    <col min="490" max="506" width="12.28515625" bestFit="1" customWidth="1"/>
    <col min="507" max="507" width="11.140625" bestFit="1" customWidth="1"/>
    <col min="508" max="518" width="12.28515625" bestFit="1" customWidth="1"/>
    <col min="519" max="519" width="11.140625" bestFit="1" customWidth="1"/>
    <col min="520" max="520" width="12.28515625" bestFit="1" customWidth="1"/>
    <col min="521" max="521" width="11.140625" bestFit="1" customWidth="1"/>
    <col min="522" max="522" width="12.28515625" bestFit="1" customWidth="1"/>
    <col min="523" max="523" width="11.140625" bestFit="1" customWidth="1"/>
    <col min="524" max="529" width="12.28515625" bestFit="1" customWidth="1"/>
    <col min="530" max="530" width="10.140625" bestFit="1" customWidth="1"/>
    <col min="531" max="551" width="12.28515625" bestFit="1" customWidth="1"/>
    <col min="552" max="552" width="11.140625" bestFit="1" customWidth="1"/>
    <col min="553" max="558" width="12.28515625" bestFit="1" customWidth="1"/>
    <col min="559" max="559" width="11.140625" bestFit="1" customWidth="1"/>
    <col min="560" max="562" width="12.28515625" bestFit="1" customWidth="1"/>
    <col min="563" max="563" width="11.140625" bestFit="1" customWidth="1"/>
    <col min="564" max="568" width="12.28515625" bestFit="1" customWidth="1"/>
    <col min="569" max="569" width="11.140625" bestFit="1" customWidth="1"/>
    <col min="570" max="585" width="12.28515625" bestFit="1" customWidth="1"/>
    <col min="586" max="586" width="10.140625" bestFit="1" customWidth="1"/>
    <col min="587" max="613" width="12.28515625" bestFit="1" customWidth="1"/>
    <col min="614" max="614" width="11.140625" bestFit="1" customWidth="1"/>
    <col min="615" max="627" width="12.28515625" bestFit="1" customWidth="1"/>
    <col min="628" max="628" width="11.140625" bestFit="1" customWidth="1"/>
    <col min="629" max="693" width="12.28515625" bestFit="1" customWidth="1"/>
    <col min="694" max="694" width="11.140625" bestFit="1" customWidth="1"/>
    <col min="695" max="709" width="12.28515625" bestFit="1" customWidth="1"/>
    <col min="710" max="710" width="11.140625" bestFit="1" customWidth="1"/>
    <col min="711" max="711" width="12.28515625" bestFit="1" customWidth="1"/>
    <col min="712" max="712" width="11.140625" bestFit="1" customWidth="1"/>
    <col min="713" max="714" width="12.28515625" bestFit="1" customWidth="1"/>
    <col min="715" max="715" width="11.140625" bestFit="1" customWidth="1"/>
    <col min="716" max="737" width="12.28515625" bestFit="1" customWidth="1"/>
    <col min="738" max="738" width="10.140625" bestFit="1" customWidth="1"/>
    <col min="739" max="742" width="12.28515625" bestFit="1" customWidth="1"/>
    <col min="743" max="745" width="11.140625" bestFit="1" customWidth="1"/>
    <col min="746" max="765" width="12.28515625" bestFit="1" customWidth="1"/>
    <col min="766" max="766" width="11.140625" bestFit="1" customWidth="1"/>
    <col min="767" max="768" width="12.28515625" bestFit="1" customWidth="1"/>
    <col min="769" max="770" width="11.140625" bestFit="1" customWidth="1"/>
    <col min="771" max="781" width="12.28515625" bestFit="1" customWidth="1"/>
    <col min="782" max="782" width="11.140625" bestFit="1" customWidth="1"/>
    <col min="783" max="819" width="12.28515625" bestFit="1" customWidth="1"/>
    <col min="820" max="820" width="11.140625" bestFit="1" customWidth="1"/>
    <col min="821" max="831" width="12.28515625" bestFit="1" customWidth="1"/>
    <col min="832" max="832" width="11.140625" bestFit="1" customWidth="1"/>
    <col min="833" max="860" width="12.28515625" bestFit="1" customWidth="1"/>
    <col min="861" max="861" width="11.140625" bestFit="1" customWidth="1"/>
    <col min="862" max="896" width="12.28515625" bestFit="1" customWidth="1"/>
    <col min="897" max="897" width="11.140625" bestFit="1" customWidth="1"/>
    <col min="898" max="906" width="12.28515625" bestFit="1" customWidth="1"/>
    <col min="907" max="907" width="11.140625" bestFit="1" customWidth="1"/>
    <col min="908" max="929" width="12.28515625" bestFit="1" customWidth="1"/>
    <col min="930" max="930" width="11.140625" bestFit="1" customWidth="1"/>
    <col min="931" max="934" width="12.28515625" bestFit="1" customWidth="1"/>
    <col min="935" max="935" width="11.140625" bestFit="1" customWidth="1"/>
    <col min="936" max="939" width="12.28515625" bestFit="1" customWidth="1"/>
    <col min="940" max="940" width="11.140625" bestFit="1" customWidth="1"/>
    <col min="941" max="954" width="12.28515625" bestFit="1" customWidth="1"/>
    <col min="955" max="955" width="11.140625" bestFit="1" customWidth="1"/>
    <col min="956" max="961" width="12.28515625" bestFit="1" customWidth="1"/>
    <col min="962" max="964" width="11.140625" bestFit="1" customWidth="1"/>
    <col min="965" max="972" width="12.28515625" bestFit="1" customWidth="1"/>
    <col min="973" max="973" width="11.140625" bestFit="1" customWidth="1"/>
    <col min="974" max="979" width="12.28515625" bestFit="1" customWidth="1"/>
    <col min="980" max="981" width="11.140625" bestFit="1" customWidth="1"/>
    <col min="982" max="988" width="12.28515625" bestFit="1" customWidth="1"/>
    <col min="989" max="989" width="11.140625" bestFit="1" customWidth="1"/>
    <col min="990" max="990" width="12.28515625" bestFit="1" customWidth="1"/>
    <col min="991" max="992" width="11.140625" bestFit="1" customWidth="1"/>
    <col min="993" max="993" width="12.28515625" bestFit="1" customWidth="1"/>
    <col min="994" max="994" width="11.140625" bestFit="1" customWidth="1"/>
    <col min="995" max="995" width="12.28515625" bestFit="1" customWidth="1"/>
    <col min="996" max="996" width="11.140625" bestFit="1" customWidth="1"/>
    <col min="997" max="1000" width="12.28515625" bestFit="1" customWidth="1"/>
    <col min="1001" max="1001" width="10.140625" bestFit="1" customWidth="1"/>
    <col min="1002" max="1002" width="12.5703125" bestFit="1" customWidth="1"/>
    <col min="1003" max="1004" width="12.28515625" bestFit="1" customWidth="1"/>
    <col min="1005" max="1005" width="11.140625" bestFit="1" customWidth="1"/>
    <col min="1006" max="1008" width="12.28515625" bestFit="1" customWidth="1"/>
    <col min="1009" max="1010" width="11.140625" bestFit="1" customWidth="1"/>
    <col min="1011" max="1020" width="12.28515625" bestFit="1" customWidth="1"/>
    <col min="1021" max="1021" width="11.140625" bestFit="1" customWidth="1"/>
    <col min="1022" max="1032" width="12.28515625" bestFit="1" customWidth="1"/>
    <col min="1033" max="1033" width="11.140625" bestFit="1" customWidth="1"/>
    <col min="1034" max="1044" width="12.28515625" bestFit="1" customWidth="1"/>
    <col min="1045" max="1045" width="11.140625" bestFit="1" customWidth="1"/>
    <col min="1046" max="1058" width="12.28515625" bestFit="1" customWidth="1"/>
    <col min="1059" max="1059" width="11.140625" bestFit="1" customWidth="1"/>
    <col min="1060" max="1061" width="12.28515625" bestFit="1" customWidth="1"/>
    <col min="1062" max="1062" width="6.85546875" bestFit="1" customWidth="1"/>
    <col min="1063" max="1068" width="12.28515625" bestFit="1" customWidth="1"/>
    <col min="1069" max="1070" width="11.140625" bestFit="1" customWidth="1"/>
    <col min="1071" max="1080" width="12.28515625" bestFit="1" customWidth="1"/>
    <col min="1081" max="1081" width="11.140625" bestFit="1" customWidth="1"/>
    <col min="1082" max="1083" width="12.28515625" bestFit="1" customWidth="1"/>
    <col min="1084" max="1085" width="11.140625" bestFit="1" customWidth="1"/>
    <col min="1086" max="1117" width="12.28515625" bestFit="1" customWidth="1"/>
    <col min="1118" max="1118" width="11.140625" bestFit="1" customWidth="1"/>
    <col min="1119" max="1120" width="12.28515625" bestFit="1" customWidth="1"/>
    <col min="1121" max="1121" width="11.140625" bestFit="1" customWidth="1"/>
    <col min="1122" max="1126" width="12.28515625" bestFit="1" customWidth="1"/>
    <col min="1127" max="1127" width="11.140625" bestFit="1" customWidth="1"/>
    <col min="1128" max="1141" width="12.28515625" bestFit="1" customWidth="1"/>
    <col min="1142" max="1142" width="11.140625" bestFit="1" customWidth="1"/>
    <col min="1143" max="1146" width="12.28515625" bestFit="1" customWidth="1"/>
    <col min="1147" max="1147" width="11.140625" bestFit="1" customWidth="1"/>
    <col min="1148" max="1153" width="12.28515625" bestFit="1" customWidth="1"/>
    <col min="1154" max="1154" width="11.140625" bestFit="1" customWidth="1"/>
    <col min="1155" max="1164" width="12.28515625" bestFit="1" customWidth="1"/>
    <col min="1165" max="1165" width="11.140625" bestFit="1" customWidth="1"/>
    <col min="1166" max="1179" width="12.28515625" bestFit="1" customWidth="1"/>
    <col min="1180" max="1180" width="11.140625" bestFit="1" customWidth="1"/>
    <col min="1181" max="1207" width="12.28515625" bestFit="1" customWidth="1"/>
    <col min="1208" max="1208" width="11.140625" bestFit="1" customWidth="1"/>
    <col min="1209" max="1226" width="12.28515625" bestFit="1" customWidth="1"/>
    <col min="1227" max="1227" width="11.140625" bestFit="1" customWidth="1"/>
    <col min="1228" max="1239" width="12.28515625" bestFit="1" customWidth="1"/>
    <col min="1240" max="1241" width="11.140625" bestFit="1" customWidth="1"/>
    <col min="1242" max="1276" width="12.28515625" bestFit="1" customWidth="1"/>
    <col min="1277" max="1277" width="11.140625" bestFit="1" customWidth="1"/>
    <col min="1278" max="1283" width="12.28515625" bestFit="1" customWidth="1"/>
    <col min="1284" max="1284" width="11.140625" bestFit="1" customWidth="1"/>
    <col min="1285" max="1290" width="12.28515625" bestFit="1" customWidth="1"/>
    <col min="1291" max="1291" width="11.140625" bestFit="1" customWidth="1"/>
    <col min="1292" max="1294" width="12.28515625" bestFit="1" customWidth="1"/>
    <col min="1295" max="1295" width="11.140625" bestFit="1" customWidth="1"/>
    <col min="1296" max="1303" width="12.28515625" bestFit="1" customWidth="1"/>
    <col min="1304" max="1305" width="11.140625" bestFit="1" customWidth="1"/>
    <col min="1306" max="1330" width="12.28515625" bestFit="1" customWidth="1"/>
    <col min="1331" max="1331" width="11.140625" bestFit="1" customWidth="1"/>
    <col min="1332" max="1385" width="12.28515625" bestFit="1" customWidth="1"/>
    <col min="1386" max="1386" width="11.140625" bestFit="1" customWidth="1"/>
    <col min="1387" max="1390" width="12.28515625" bestFit="1" customWidth="1"/>
    <col min="1391" max="1391" width="11.140625" bestFit="1" customWidth="1"/>
    <col min="1392" max="1412" width="12.28515625" bestFit="1" customWidth="1"/>
    <col min="1413" max="1413" width="11.140625" bestFit="1" customWidth="1"/>
    <col min="1414" max="1419" width="12.28515625" bestFit="1" customWidth="1"/>
    <col min="1420" max="1420" width="11.140625" bestFit="1" customWidth="1"/>
    <col min="1421" max="1455" width="12.28515625" bestFit="1" customWidth="1"/>
    <col min="1456" max="1456" width="11.140625" bestFit="1" customWidth="1"/>
    <col min="1457" max="1459" width="12.28515625" bestFit="1" customWidth="1"/>
    <col min="1460" max="1461" width="11.140625" bestFit="1" customWidth="1"/>
    <col min="1462" max="1462" width="12.28515625" bestFit="1" customWidth="1"/>
    <col min="1463" max="1463" width="11.140625" bestFit="1" customWidth="1"/>
    <col min="1464" max="1467" width="12.28515625" bestFit="1" customWidth="1"/>
    <col min="1468" max="1468" width="11.140625" bestFit="1" customWidth="1"/>
    <col min="1469" max="1473" width="12.28515625" bestFit="1" customWidth="1"/>
    <col min="1474" max="1474" width="11.140625" bestFit="1" customWidth="1"/>
    <col min="1475" max="1488" width="12.28515625" bestFit="1" customWidth="1"/>
    <col min="1489" max="1489" width="11.140625" bestFit="1" customWidth="1"/>
    <col min="1490" max="1506" width="12.28515625" bestFit="1" customWidth="1"/>
    <col min="1507" max="1507" width="11.140625" bestFit="1" customWidth="1"/>
    <col min="1508" max="1518" width="12.28515625" bestFit="1" customWidth="1"/>
    <col min="1519" max="1519" width="11.140625" bestFit="1" customWidth="1"/>
    <col min="1520" max="1520" width="12.28515625" bestFit="1" customWidth="1"/>
    <col min="1521" max="1521" width="11.140625" bestFit="1" customWidth="1"/>
    <col min="1522" max="1522" width="12.28515625" bestFit="1" customWidth="1"/>
    <col min="1523" max="1523" width="11.140625" bestFit="1" customWidth="1"/>
    <col min="1524" max="1529" width="12.28515625" bestFit="1" customWidth="1"/>
    <col min="1530" max="1530" width="10.140625" bestFit="1" customWidth="1"/>
    <col min="1531" max="1551" width="12.28515625" bestFit="1" customWidth="1"/>
    <col min="1552" max="1552" width="11.140625" bestFit="1" customWidth="1"/>
    <col min="1553" max="1558" width="12.28515625" bestFit="1" customWidth="1"/>
    <col min="1559" max="1559" width="11.140625" bestFit="1" customWidth="1"/>
    <col min="1560" max="1562" width="12.28515625" bestFit="1" customWidth="1"/>
    <col min="1563" max="1563" width="11.140625" bestFit="1" customWidth="1"/>
    <col min="1564" max="1568" width="12.28515625" bestFit="1" customWidth="1"/>
    <col min="1569" max="1569" width="11.140625" bestFit="1" customWidth="1"/>
    <col min="1570" max="1585" width="12.28515625" bestFit="1" customWidth="1"/>
    <col min="1586" max="1586" width="10.140625" bestFit="1" customWidth="1"/>
    <col min="1587" max="1613" width="12.28515625" bestFit="1" customWidth="1"/>
    <col min="1614" max="1614" width="11.140625" bestFit="1" customWidth="1"/>
    <col min="1615" max="1627" width="12.28515625" bestFit="1" customWidth="1"/>
    <col min="1628" max="1628" width="11.140625" bestFit="1" customWidth="1"/>
    <col min="1629" max="1693" width="12.28515625" bestFit="1" customWidth="1"/>
    <col min="1694" max="1694" width="11.140625" bestFit="1" customWidth="1"/>
    <col min="1695" max="1709" width="12.28515625" bestFit="1" customWidth="1"/>
    <col min="1710" max="1710" width="11.140625" bestFit="1" customWidth="1"/>
    <col min="1711" max="1711" width="12.28515625" bestFit="1" customWidth="1"/>
    <col min="1712" max="1712" width="11.140625" bestFit="1" customWidth="1"/>
    <col min="1713" max="1714" width="12.28515625" bestFit="1" customWidth="1"/>
    <col min="1715" max="1715" width="11.140625" bestFit="1" customWidth="1"/>
    <col min="1716" max="1737" width="12.28515625" bestFit="1" customWidth="1"/>
    <col min="1738" max="1738" width="10.140625" bestFit="1" customWidth="1"/>
    <col min="1739" max="1742" width="12.28515625" bestFit="1" customWidth="1"/>
    <col min="1743" max="1745" width="11.140625" bestFit="1" customWidth="1"/>
    <col min="1746" max="1765" width="12.28515625" bestFit="1" customWidth="1"/>
    <col min="1766" max="1766" width="11.140625" bestFit="1" customWidth="1"/>
    <col min="1767" max="1768" width="12.28515625" bestFit="1" customWidth="1"/>
    <col min="1769" max="1770" width="11.140625" bestFit="1" customWidth="1"/>
    <col min="1771" max="1781" width="12.28515625" bestFit="1" customWidth="1"/>
    <col min="1782" max="1782" width="11.140625" bestFit="1" customWidth="1"/>
    <col min="1783" max="1819" width="12.28515625" bestFit="1" customWidth="1"/>
    <col min="1820" max="1820" width="11.140625" bestFit="1" customWidth="1"/>
    <col min="1821" max="1831" width="12.28515625" bestFit="1" customWidth="1"/>
    <col min="1832" max="1832" width="11.140625" bestFit="1" customWidth="1"/>
    <col min="1833" max="1860" width="12.28515625" bestFit="1" customWidth="1"/>
    <col min="1861" max="1861" width="11.140625" bestFit="1" customWidth="1"/>
    <col min="1862" max="1896" width="12.28515625" bestFit="1" customWidth="1"/>
    <col min="1897" max="1897" width="11.140625" bestFit="1" customWidth="1"/>
    <col min="1898" max="1906" width="12.28515625" bestFit="1" customWidth="1"/>
    <col min="1907" max="1907" width="11.140625" bestFit="1" customWidth="1"/>
    <col min="1908" max="1929" width="12.28515625" bestFit="1" customWidth="1"/>
    <col min="1930" max="1930" width="11.140625" bestFit="1" customWidth="1"/>
    <col min="1931" max="1934" width="12.28515625" bestFit="1" customWidth="1"/>
    <col min="1935" max="1935" width="11.140625" bestFit="1" customWidth="1"/>
    <col min="1936" max="1939" width="12.28515625" bestFit="1" customWidth="1"/>
    <col min="1940" max="1940" width="11.140625" bestFit="1" customWidth="1"/>
    <col min="1941" max="1954" width="12.28515625" bestFit="1" customWidth="1"/>
    <col min="1955" max="1955" width="11.140625" bestFit="1" customWidth="1"/>
    <col min="1956" max="1961" width="12.28515625" bestFit="1" customWidth="1"/>
    <col min="1962" max="1964" width="11.140625" bestFit="1" customWidth="1"/>
    <col min="1965" max="1972" width="12.28515625" bestFit="1" customWidth="1"/>
    <col min="1973" max="1973" width="11.140625" bestFit="1" customWidth="1"/>
    <col min="1974" max="1979" width="12.28515625" bestFit="1" customWidth="1"/>
    <col min="1980" max="1981" width="11.140625" bestFit="1" customWidth="1"/>
    <col min="1982" max="1988" width="12.28515625" bestFit="1" customWidth="1"/>
    <col min="1989" max="1989" width="11.140625" bestFit="1" customWidth="1"/>
    <col min="1990" max="1990" width="12.28515625" bestFit="1" customWidth="1"/>
    <col min="1991" max="1992" width="11.140625" bestFit="1" customWidth="1"/>
    <col min="1993" max="1993" width="12.28515625" bestFit="1" customWidth="1"/>
    <col min="1994" max="1994" width="11.140625" bestFit="1" customWidth="1"/>
    <col min="1995" max="1995" width="12.28515625" bestFit="1" customWidth="1"/>
    <col min="1996" max="1996" width="11.140625" bestFit="1" customWidth="1"/>
    <col min="1997" max="2000" width="12.28515625" bestFit="1" customWidth="1"/>
    <col min="2001" max="2001" width="10.140625" bestFit="1" customWidth="1"/>
    <col min="2002" max="2002" width="17.140625" bestFit="1" customWidth="1"/>
    <col min="2003" max="2003" width="17.5703125" bestFit="1" customWidth="1"/>
  </cols>
  <sheetData>
    <row r="3" spans="1:4">
      <c r="A3" s="4" t="s">
        <v>2</v>
      </c>
      <c r="B3" t="s">
        <v>1874</v>
      </c>
      <c r="C3" t="s">
        <v>1875</v>
      </c>
      <c r="D3" t="s">
        <v>1876</v>
      </c>
    </row>
    <row r="4" spans="1:4">
      <c r="A4" t="s">
        <v>14</v>
      </c>
      <c r="B4" s="5">
        <v>205235.75999999992</v>
      </c>
      <c r="C4" s="5">
        <v>33743.37999999999</v>
      </c>
      <c r="D4" s="6">
        <v>0.16538549056190524</v>
      </c>
    </row>
    <row r="5" spans="1:4">
      <c r="A5" t="s">
        <v>20</v>
      </c>
      <c r="B5" s="5">
        <v>240863.52000000002</v>
      </c>
      <c r="C5" s="5">
        <v>40793.80999999999</v>
      </c>
      <c r="D5" s="6">
        <v>0.16935269829612309</v>
      </c>
    </row>
    <row r="6" spans="1:4">
      <c r="A6" t="s">
        <v>39</v>
      </c>
      <c r="B6" s="5">
        <v>174423.09000000003</v>
      </c>
      <c r="C6" s="5">
        <v>30289.529999999995</v>
      </c>
      <c r="D6" s="6">
        <v>0.1725278317068874</v>
      </c>
    </row>
    <row r="7" spans="1:4">
      <c r="A7" t="s">
        <v>33</v>
      </c>
      <c r="B7" s="5">
        <v>210445.92999999996</v>
      </c>
      <c r="C7" s="5">
        <v>36442.26</v>
      </c>
      <c r="D7" s="6">
        <v>0.17465358692694613</v>
      </c>
    </row>
    <row r="8" spans="1:4">
      <c r="A8" t="s">
        <v>1877</v>
      </c>
      <c r="B8" s="5">
        <v>830968.29999999935</v>
      </c>
      <c r="C8" s="5">
        <v>141268.9800000001</v>
      </c>
      <c r="D8" s="6">
        <v>0.17037070831454984</v>
      </c>
    </row>
    <row r="11" spans="1:4">
      <c r="A11" s="4" t="s">
        <v>3</v>
      </c>
      <c r="B11" t="s">
        <v>1874</v>
      </c>
    </row>
    <row r="12" spans="1:4">
      <c r="A12" t="s">
        <v>73</v>
      </c>
      <c r="B12" s="5">
        <v>197052.32999999996</v>
      </c>
    </row>
    <row r="13" spans="1:4">
      <c r="A13" t="s">
        <v>21</v>
      </c>
      <c r="B13" s="5">
        <v>202441.31999999998</v>
      </c>
    </row>
    <row r="14" spans="1:4">
      <c r="A14" t="s">
        <v>40</v>
      </c>
      <c r="B14" s="5">
        <v>205216.71000000005</v>
      </c>
    </row>
    <row r="15" spans="1:4">
      <c r="A15" t="s">
        <v>15</v>
      </c>
      <c r="B15" s="5">
        <v>226257.93999999992</v>
      </c>
    </row>
    <row r="16" spans="1:4">
      <c r="A16" t="s">
        <v>1877</v>
      </c>
      <c r="B16" s="5">
        <v>830968.29999999993</v>
      </c>
    </row>
    <row r="36" spans="1:3">
      <c r="A36" s="4" t="s">
        <v>12</v>
      </c>
      <c r="B36" s="4" t="s">
        <v>11</v>
      </c>
      <c r="C36" t="s">
        <v>1874</v>
      </c>
    </row>
    <row r="37" spans="1:3">
      <c r="A37">
        <v>2022</v>
      </c>
      <c r="B37" t="s">
        <v>1878</v>
      </c>
      <c r="C37" s="5">
        <v>12444.35</v>
      </c>
    </row>
    <row r="38" spans="1:3">
      <c r="B38" t="s">
        <v>1879</v>
      </c>
      <c r="C38" s="5">
        <v>29138.679999999997</v>
      </c>
    </row>
    <row r="39" spans="1:3">
      <c r="B39" t="s">
        <v>1880</v>
      </c>
      <c r="C39" s="5">
        <v>23139.299999999996</v>
      </c>
    </row>
    <row r="40" spans="1:3">
      <c r="B40" t="s">
        <v>1881</v>
      </c>
      <c r="C40" s="5">
        <v>33227.31</v>
      </c>
    </row>
    <row r="41" spans="1:3">
      <c r="B41" t="s">
        <v>1882</v>
      </c>
      <c r="C41" s="5">
        <v>24819.14</v>
      </c>
    </row>
    <row r="42" spans="1:3">
      <c r="B42" t="s">
        <v>1883</v>
      </c>
      <c r="C42" s="5">
        <v>24728.979999999996</v>
      </c>
    </row>
    <row r="43" spans="1:3">
      <c r="B43" t="s">
        <v>1884</v>
      </c>
      <c r="C43" s="5">
        <v>24642.1</v>
      </c>
    </row>
    <row r="44" spans="1:3">
      <c r="B44" t="s">
        <v>1885</v>
      </c>
      <c r="C44" s="5">
        <v>21949.66</v>
      </c>
    </row>
    <row r="45" spans="1:3">
      <c r="B45" t="s">
        <v>1886</v>
      </c>
      <c r="C45" s="5">
        <v>25609.379999999994</v>
      </c>
    </row>
    <row r="46" spans="1:3">
      <c r="A46" t="s">
        <v>1887</v>
      </c>
      <c r="C46" s="5">
        <v>219698.9</v>
      </c>
    </row>
    <row r="47" spans="1:3">
      <c r="A47">
        <v>2023</v>
      </c>
      <c r="B47" t="s">
        <v>1888</v>
      </c>
      <c r="C47" s="5">
        <v>30434.82</v>
      </c>
    </row>
    <row r="48" spans="1:3">
      <c r="B48" t="s">
        <v>1889</v>
      </c>
      <c r="C48" s="5">
        <v>27451.25</v>
      </c>
    </row>
    <row r="49" spans="1:3">
      <c r="B49" t="s">
        <v>1890</v>
      </c>
      <c r="C49" s="5">
        <v>21596.1</v>
      </c>
    </row>
    <row r="50" spans="1:3">
      <c r="B50" t="s">
        <v>1878</v>
      </c>
      <c r="C50" s="5">
        <v>24477.189999999995</v>
      </c>
    </row>
    <row r="51" spans="1:3">
      <c r="B51" t="s">
        <v>1879</v>
      </c>
      <c r="C51" s="5">
        <v>20158.779999999995</v>
      </c>
    </row>
    <row r="52" spans="1:3">
      <c r="B52" t="s">
        <v>1880</v>
      </c>
      <c r="C52" s="5">
        <v>25332.620000000003</v>
      </c>
    </row>
    <row r="53" spans="1:3">
      <c r="B53" t="s">
        <v>1881</v>
      </c>
      <c r="C53" s="5">
        <v>28895.149999999994</v>
      </c>
    </row>
    <row r="54" spans="1:3">
      <c r="B54" t="s">
        <v>1882</v>
      </c>
      <c r="C54" s="5">
        <v>26648.33</v>
      </c>
    </row>
    <row r="55" spans="1:3">
      <c r="B55" t="s">
        <v>1883</v>
      </c>
      <c r="C55" s="5">
        <v>16839.849999999999</v>
      </c>
    </row>
    <row r="56" spans="1:3">
      <c r="B56" t="s">
        <v>1884</v>
      </c>
      <c r="C56" s="5">
        <v>23037.46</v>
      </c>
    </row>
    <row r="57" spans="1:3">
      <c r="B57" t="s">
        <v>1885</v>
      </c>
      <c r="C57" s="5">
        <v>25684.879999999994</v>
      </c>
    </row>
    <row r="58" spans="1:3">
      <c r="B58" t="s">
        <v>1886</v>
      </c>
      <c r="C58" s="5">
        <v>26587.640000000003</v>
      </c>
    </row>
    <row r="59" spans="1:3">
      <c r="A59" t="s">
        <v>1891</v>
      </c>
      <c r="C59" s="5">
        <v>297144.07</v>
      </c>
    </row>
    <row r="60" spans="1:3">
      <c r="A60">
        <v>2024</v>
      </c>
      <c r="B60" t="s">
        <v>1888</v>
      </c>
      <c r="C60" s="5">
        <v>24826.6</v>
      </c>
    </row>
    <row r="61" spans="1:3">
      <c r="B61" t="s">
        <v>1889</v>
      </c>
      <c r="C61" s="5">
        <v>32244.100000000009</v>
      </c>
    </row>
    <row r="62" spans="1:3">
      <c r="B62" t="s">
        <v>1890</v>
      </c>
      <c r="C62" s="5">
        <v>26498.920000000006</v>
      </c>
    </row>
    <row r="63" spans="1:3">
      <c r="B63" t="s">
        <v>1878</v>
      </c>
      <c r="C63" s="5">
        <v>18678.739999999998</v>
      </c>
    </row>
    <row r="64" spans="1:3">
      <c r="B64" t="s">
        <v>1879</v>
      </c>
      <c r="C64" s="5">
        <v>27365.890000000003</v>
      </c>
    </row>
    <row r="65" spans="1:3">
      <c r="B65" t="s">
        <v>1880</v>
      </c>
      <c r="C65" s="5">
        <v>26079.65</v>
      </c>
    </row>
    <row r="66" spans="1:3">
      <c r="B66" t="s">
        <v>1881</v>
      </c>
      <c r="C66" s="5">
        <v>29976.260000000002</v>
      </c>
    </row>
    <row r="67" spans="1:3">
      <c r="B67" t="s">
        <v>1882</v>
      </c>
      <c r="C67" s="5">
        <v>20368.45</v>
      </c>
    </row>
    <row r="68" spans="1:3">
      <c r="B68" t="s">
        <v>1883</v>
      </c>
      <c r="C68" s="5">
        <v>25375.189999999995</v>
      </c>
    </row>
    <row r="69" spans="1:3">
      <c r="B69" t="s">
        <v>1884</v>
      </c>
      <c r="C69" s="5">
        <v>26952.520000000004</v>
      </c>
    </row>
    <row r="70" spans="1:3">
      <c r="B70" t="s">
        <v>1885</v>
      </c>
      <c r="C70" s="5">
        <v>26248.71</v>
      </c>
    </row>
    <row r="71" spans="1:3">
      <c r="B71" t="s">
        <v>1886</v>
      </c>
      <c r="C71" s="5">
        <v>24456.47</v>
      </c>
    </row>
    <row r="72" spans="1:3">
      <c r="A72" t="s">
        <v>1892</v>
      </c>
      <c r="C72" s="5">
        <v>309071.50000000012</v>
      </c>
    </row>
    <row r="73" spans="1:3">
      <c r="A73">
        <v>2025</v>
      </c>
      <c r="B73" t="s">
        <v>1888</v>
      </c>
      <c r="C73" s="5">
        <v>5053.83</v>
      </c>
    </row>
    <row r="74" spans="1:3">
      <c r="A74" t="s">
        <v>1893</v>
      </c>
      <c r="C74" s="5">
        <v>5053.83</v>
      </c>
    </row>
    <row r="75" spans="1:3">
      <c r="A75" t="s">
        <v>1877</v>
      </c>
      <c r="C75" s="5">
        <v>830968.29999999981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011B-DB95-4EE2-86B6-5E9771AA5C0E}">
  <dimension ref="A1:R2"/>
  <sheetViews>
    <sheetView showGridLines="0" tabSelected="1" topLeftCell="A2" workbookViewId="0">
      <selection activeCell="T20" sqref="T20"/>
    </sheetView>
  </sheetViews>
  <sheetFormatPr defaultRowHeight="15"/>
  <sheetData>
    <row r="1" spans="1:18" ht="31.5">
      <c r="A1" s="7" t="s">
        <v>1894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8" t="s">
        <v>1895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</sheetData>
  <mergeCells count="2">
    <mergeCell ref="A1:R1"/>
    <mergeCell ref="A2:R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2025-11-03T19:21:25Z</dcterms:created>
  <dcterms:modified xsi:type="dcterms:W3CDTF">2025-11-06T06:11:48Z</dcterms:modified>
  <cp:category/>
  <cp:contentStatus/>
</cp:coreProperties>
</file>